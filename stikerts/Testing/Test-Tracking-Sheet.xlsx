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liron\Local Sites\ordermachine\app\public\wp-content\plugins\orderMachine\stikerts\Testing\"/>
    </mc:Choice>
  </mc:AlternateContent>
  <xr:revisionPtr revIDLastSave="0" documentId="13_ncr:1_{FA1A1565-10A9-425E-B768-FD7AB89C4FF6}" xr6:coauthVersionLast="47" xr6:coauthVersionMax="47" xr10:uidLastSave="{00000000-0000-0000-0000-000000000000}"/>
  <bookViews>
    <workbookView xWindow="-108" yWindow="-108" windowWidth="23256" windowHeight="12456" tabRatio="809" activeTab="2" xr2:uid="{00000000-000D-0000-FFFF-FFFF00000000}"/>
  </bookViews>
  <sheets>
    <sheet name="Read Me" sheetId="1" r:id="rId1"/>
    <sheet name="Test 6 - Transit" sheetId="2" r:id="rId2"/>
    <sheet name="Corner Punch &amp; Peel-Nick" sheetId="3" r:id="rId3"/>
    <sheet name="Addendum 2 - Visibility" sheetId="4" r:id="rId4"/>
    <sheet name="Addendum 3 - Durability" sheetId="5" r:id="rId5"/>
    <sheet name="Addendum 4 - Cut File Format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0" i="2" l="1"/>
  <c r="C9" i="2"/>
  <c r="C8" i="2"/>
  <c r="C7" i="2"/>
</calcChain>
</file>

<file path=xl/sharedStrings.xml><?xml version="1.0" encoding="utf-8"?>
<sst xmlns="http://schemas.openxmlformats.org/spreadsheetml/2006/main" count="193" uniqueCount="143">
  <si>
    <t>Bin Sticker — Test Tracking Workbook</t>
  </si>
  <si>
    <t>How to use this workbook</t>
  </si>
  <si>
    <t>Yellow cells</t>
  </si>
  <si>
    <t>Your input goes here. Everything else is a label or formula — leave as is.</t>
  </si>
  <si>
    <t>Tab order</t>
  </si>
  <si>
    <t>Test 6 (Transit) → Corner Punch &amp; Peel-Nick → Addendum 2 (Clear Vinyl Visibility) → Addendum 3 (Clear Vinyl Durability) → Addendum 4 (Cut File Format, if considering the kiss-cut machine upgrade)</t>
  </si>
  <si>
    <t>Dependency</t>
  </si>
  <si>
    <t>Addendum 3 can't start until Addendum 2 has identified a winning colour(s). Do Addendum 2 first.</t>
  </si>
  <si>
    <t>Reuse note</t>
  </si>
  <si>
    <t>If you plan to ship the Addendum 3 samples afterward to double as Test 6 shipping samples (to avoid wasting material), mark them 'post-durability-test' in the Test 6 notes column — a crease found on arrival could be from UV/scratch exposure, not the post, so don't treat that result as a clean packaging-only signal.</t>
  </si>
  <si>
    <t>Cricut tests</t>
  </si>
  <si>
    <t>Tests 1–5 from Bin-Sticker-Material-Test-Plan.md (Cricut vs Stickiply comparison) are intentionally NOT in this workbook — those wait until Cricut materials arrive.</t>
  </si>
  <si>
    <t>Addendum 4</t>
  </si>
  <si>
    <t>Free pre-purchase check for the kiss-cut machine upgrade path — confirms whether the DXF file imports cleanly into Silhouette Studio Basic (free) before you spend money on either the Portrait 4 or Joy Xtra.</t>
  </si>
  <si>
    <t>Test 6 — Transit / Shipping Stress</t>
  </si>
  <si>
    <t>Date started:</t>
  </si>
  <si>
    <t>Packed thickness</t>
  </si>
  <si>
    <t>Packaging</t>
  </si>
  <si>
    <t>Thickness (mm)</t>
  </si>
  <si>
    <t>Under 5mm?</t>
  </si>
  <si>
    <t>Royal Mail format</t>
  </si>
  <si>
    <t>1. Kraft envelope + tissue (flat wrap)</t>
  </si>
  <si>
    <t>2. Kraft envelope + backing card</t>
  </si>
  <si>
    <t>3. Mail Lite A/000 padded mailer</t>
  </si>
  <si>
    <t>4. C6 box</t>
  </si>
  <si>
    <t>Drop / flex test (do first)</t>
  </si>
  <si>
    <t>Flat drop x3</t>
  </si>
  <si>
    <t>Edge drop x3</t>
  </si>
  <si>
    <t>Corner drop x3</t>
  </si>
  <si>
    <t>Flex x5 (30°, 2s)</t>
  </si>
  <si>
    <t>Notes</t>
  </si>
  <si>
    <t>Post-to-self test</t>
  </si>
  <si>
    <t>Date posted</t>
  </si>
  <si>
    <t>Date arrived</t>
  </si>
  <si>
    <t>Creasing?</t>
  </si>
  <si>
    <t>Corner damage?</t>
  </si>
  <si>
    <t>Shift inside?</t>
  </si>
  <si>
    <t>Decision</t>
  </si>
  <si>
    <t>Chosen packaging:</t>
  </si>
  <si>
    <t>If backing card performs close to padded mailer/box → standout (Letter-rate + real protection). If it creases like flat wrap → the extra postage for mailer/box is buying real protection.</t>
  </si>
  <si>
    <t>Corner Punch &amp; Peel-Nick Check</t>
  </si>
  <si>
    <t>Date tested:</t>
  </si>
  <si>
    <t>Material:</t>
  </si>
  <si>
    <t>Stickiply (vinyl + laminate)</t>
  </si>
  <si>
    <t>Corner punch</t>
  </si>
  <si>
    <t>Radius</t>
  </si>
  <si>
    <t>Cuts cleanly?</t>
  </si>
  <si>
    <t>Tears/stretches?</t>
  </si>
  <si>
    <t>Jams?</t>
  </si>
  <si>
    <t>4mm</t>
  </si>
  <si>
    <t>7mm</t>
  </si>
  <si>
    <t>10mm</t>
  </si>
  <si>
    <t>Cleanest radius:</t>
  </si>
  <si>
    <t>Peel-nick (Slice 00200)</t>
  </si>
  <si>
    <t>Attempt</t>
  </si>
  <si>
    <t>Backing stays intact?</t>
  </si>
  <si>
    <t>Catches fingernail cleanly?</t>
  </si>
  <si>
    <t>Consistent after how many attempts:</t>
  </si>
  <si>
    <t>Both clean → guillotine + punch + Slice 00200 is the workflow. Punch tears → try lower radius, or fall back to square corners / rounding attachment. Peel-nick unreliable after several tries → skip it, rely on rounded corner alone.</t>
  </si>
  <si>
    <t>Addendum 2 — Clear Vinyl Colour Visibility</t>
  </si>
  <si>
    <t>Purpose: identify which of the 5 candidate colours stay visible when printed on clear vinyl and applied over black / dark green / dark brown bin surfaces (15 combinations). Winning colour(s) feed into Addendum 3.</t>
  </si>
  <si>
    <t>Colour</t>
  </si>
  <si>
    <t>Hex</t>
  </si>
  <si>
    <t>Bin surface</t>
  </si>
  <si>
    <t>Result (Pass/Marginal/Fail)</t>
  </si>
  <si>
    <t>Thin linework legible?</t>
  </si>
  <si>
    <t>Golden Yellow</t>
  </si>
  <si>
    <t>#F2B705</t>
  </si>
  <si>
    <t>Black bin</t>
  </si>
  <si>
    <t>Dark green bin</t>
  </si>
  <si>
    <t>Dark brown bin</t>
  </si>
  <si>
    <t>Warm Cream/Ivory</t>
  </si>
  <si>
    <t>#F5E8C8</t>
  </si>
  <si>
    <t>Burnt Amber/Orange</t>
  </si>
  <si>
    <t>#D9782E</t>
  </si>
  <si>
    <t>Powder Sky Blue</t>
  </si>
  <si>
    <t>#8FB8DE</t>
  </si>
  <si>
    <t>Dusty Rose/Coral</t>
  </si>
  <si>
    <t>#E08A73</t>
  </si>
  <si>
    <t>Winning colour(s) (pass cleanly, or on ≥1 surface):</t>
  </si>
  <si>
    <t>All 5 fail on black → confirms white-card method as default for black bins; clear vinyl reserved for green/brown. A colour passing on some surfaces but not others → still usable, just recommend only for those bin colours.</t>
  </si>
  <si>
    <t>Addendum 3 — Clear Vinyl Durability (winning colour)</t>
  </si>
  <si>
    <t>⚠ Do not start until Addendum 2 has identified a winning colour. Enter it below once known.</t>
  </si>
  <si>
    <t>Winning colour under test:</t>
  </si>
  <si>
    <t>Best-matching bin surface (from Addendum 2):</t>
  </si>
  <si>
    <t>Reuse note: if these samples will be shipped afterward to double as Test 6 packaging samples, mark them 'post-durability-test' on the Test 6 tab — a crease could be from UV/scratch exposure rather than the post, so treat that Test 6 result as informal, not a clean packaging-only signal.</t>
  </si>
  <si>
    <t>Test 3 — UV / outdoor exposure (2–3 weeks)</t>
  </si>
  <si>
    <t>Day</t>
  </si>
  <si>
    <t>Date</t>
  </si>
  <si>
    <t>Fading/yellowing?</t>
  </si>
  <si>
    <t>Edge lifting?</t>
  </si>
  <si>
    <t>Cracking?</t>
  </si>
  <si>
    <t>Fades toward bin colour?</t>
  </si>
  <si>
    <t>0 (start)</t>
  </si>
  <si>
    <t>3-4</t>
  </si>
  <si>
    <t>7</t>
  </si>
  <si>
    <t>10-11</t>
  </si>
  <si>
    <t>14</t>
  </si>
  <si>
    <t>17-18</t>
  </si>
  <si>
    <t>21 (end)</t>
  </si>
  <si>
    <t>Test 5 — Scratch &amp; handling</t>
  </si>
  <si>
    <t>Check</t>
  </si>
  <si>
    <t>Result</t>
  </si>
  <si>
    <t>Visible scratch marks?</t>
  </si>
  <si>
    <t>Ink showing through?</t>
  </si>
  <si>
    <t>Laminate lifting?</t>
  </si>
  <si>
    <t>More visible than on white stock (no white backing)?</t>
  </si>
  <si>
    <t>Comparable to white vinyl results → Technique F confirmed as a genuine production path. UV fading notably worse → position as indoor-leaning/shorter-guarantee option. Scratches more visible → flag in listing or avoid for high-handling items (water bottles).</t>
  </si>
  <si>
    <t>Addendum 4 — Cut File Format Verification (SVG vs DXF)</t>
  </si>
  <si>
    <t>Purpose: before buying either machine, confirm whether the free-tier import path (SVG → Cricut Design Space, DXF → Silhouette Studio Basic) brings in the cut rectangle at the correct 100 x 140mm size. Free to test — both apps can be installed and used to check import sizing without owning the machine. No vinyl needed — use regular paper only.</t>
  </si>
  <si>
    <t>Part 1 — Software import check (no printing needed)</t>
  </si>
  <si>
    <t>File</t>
  </si>
  <si>
    <t>Software (free)</t>
  </si>
  <si>
    <t>Reported size on import</t>
  </si>
  <si>
    <t>Matches 100x140mm?</t>
  </si>
  <si>
    <t>Clean / mangled?</t>
  </si>
  <si>
    <t>sticker_cut_lines.svg</t>
  </si>
  <si>
    <t>Cricut Design Space</t>
  </si>
  <si>
    <t>sticker_cut_lines.dxf</t>
  </si>
  <si>
    <t>Silhouette Studio (Basic Edition, free)</t>
  </si>
  <si>
    <t>Part 2 — Printed comparison (regular paper, not vinyl)</t>
  </si>
  <si>
    <t>Print 2 copies of bin_sticker.py's cut-guide sheet (sheet.pdf, or a test batch) on regular printer paper — one to sit alongside the SVG import, one alongside the DXF import. Measure the printed cut-guide rectangle itself with a ruler first (confirms bin_sticker.py's own output is accurate), then compare the software's on-screen imported shape size against that measured rectangle.</t>
  </si>
  <si>
    <t>Measured / observed</t>
  </si>
  <si>
    <t>Expected</t>
  </si>
  <si>
    <t>Match?</t>
  </si>
  <si>
    <t>Printed cut-guide rectangle (ruler measurement)</t>
  </si>
  <si>
    <t>100 x 140mm</t>
  </si>
  <si>
    <t>SVG import size shown in Design Space</t>
  </si>
  <si>
    <t>DXF import size shown in Silhouette Studio</t>
  </si>
  <si>
    <t>DXF imports clean at correct size → Silhouette Portrait 4 is a no-compromise pick (cheaper, no subscription). DXF is off-size or mangled → go with Cricut Joy Xtra + the free SVG path instead. Record which machine you're proceeding with below.</t>
  </si>
  <si>
    <t>Machine proceeding with:</t>
  </si>
  <si>
    <t>doesn't fit</t>
  </si>
  <si>
    <t>weight</t>
  </si>
  <si>
    <t>cost</t>
  </si>
  <si>
    <t>36g</t>
  </si>
  <si>
    <t>letter</t>
  </si>
  <si>
    <t>48g</t>
  </si>
  <si>
    <t>large letter</t>
  </si>
  <si>
    <t>Pass</t>
  </si>
  <si>
    <t>N</t>
  </si>
  <si>
    <t>Y</t>
  </si>
  <si>
    <t>n/a</t>
  </si>
  <si>
    <t>all 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</si>
</sst>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2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1"/>
      <name val="Arial"/>
      <charset val="1"/>
    </font>
    <font>
      <b/>
      <sz val="10"/>
      <color rgb="FFFFFFFF"/>
      <name val="Arial"/>
      <charset val="1"/>
    </font>
    <font>
      <i/>
      <sz val="9"/>
      <color rgb="FF555555"/>
      <name val="Arial"/>
      <charset val="1"/>
    </font>
    <font>
      <b/>
      <sz val="10"/>
      <color rgb="FFB0532E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99"/>
      </patternFill>
    </fill>
    <fill>
      <patternFill patternType="solid">
        <fgColor rgb="FFFFFFCC"/>
        <bgColor rgb="FFFFFFFF"/>
      </patternFill>
    </fill>
    <fill>
      <patternFill patternType="solid">
        <fgColor rgb="FF2F5233"/>
        <bgColor rgb="FF555555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7" fillId="0" borderId="0" xfId="0" applyFont="1" applyAlignment="1">
      <alignment vertical="top" wrapText="1"/>
    </xf>
    <xf numFmtId="0" fontId="8" fillId="0" borderId="0" xfId="0" applyFont="1"/>
    <xf numFmtId="0" fontId="4" fillId="3" borderId="1" xfId="0" applyFont="1" applyFill="1" applyBorder="1" applyAlignment="1">
      <alignment horizontal="left" vertical="center"/>
    </xf>
    <xf numFmtId="0" fontId="3" fillId="0" borderId="0" xfId="0" applyFont="1"/>
    <xf numFmtId="0" fontId="7" fillId="0" borderId="0" xfId="0" applyFont="1" applyAlignment="1">
      <alignment wrapText="1"/>
    </xf>
    <xf numFmtId="0" fontId="1" fillId="2" borderId="0" xfId="0" applyFont="1" applyFill="1" applyAlignment="1">
      <alignment horizontal="left" vertical="center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 wrapText="1"/>
    </xf>
    <xf numFmtId="0" fontId="4" fillId="3" borderId="1" xfId="0" applyFont="1" applyFill="1" applyBorder="1" applyAlignment="1">
      <alignment horizontal="left" vertical="center"/>
    </xf>
    <xf numFmtId="0" fontId="5" fillId="0" borderId="0" xfId="0" applyFont="1"/>
    <xf numFmtId="0" fontId="6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16" fontId="4" fillId="3" borderId="1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B0532E"/>
      <rgbColor rgb="FF993366"/>
      <rgbColor rgb="FF333399"/>
      <rgbColor rgb="FF2F52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workbookViewId="0">
      <selection sqref="A1:F1"/>
    </sheetView>
  </sheetViews>
  <sheetFormatPr defaultColWidth="8.6640625" defaultRowHeight="14.4" x14ac:dyDescent="0.3"/>
  <cols>
    <col min="1" max="1" width="28" customWidth="1"/>
    <col min="2" max="2" width="90" customWidth="1"/>
  </cols>
  <sheetData>
    <row r="1" spans="1:6" ht="25.5" customHeight="1" x14ac:dyDescent="0.3">
      <c r="A1" s="6" t="s">
        <v>0</v>
      </c>
      <c r="B1" s="6"/>
      <c r="C1" s="6"/>
      <c r="D1" s="6"/>
      <c r="E1" s="6"/>
      <c r="F1" s="6"/>
    </row>
    <row r="3" spans="1:6" ht="15" customHeight="1" x14ac:dyDescent="0.3">
      <c r="A3" s="7" t="s">
        <v>1</v>
      </c>
    </row>
    <row r="4" spans="1:6" ht="30" customHeight="1" x14ac:dyDescent="0.3">
      <c r="A4" s="8" t="s">
        <v>2</v>
      </c>
      <c r="B4" s="9" t="s">
        <v>3</v>
      </c>
    </row>
    <row r="5" spans="1:6" ht="30" customHeight="1" x14ac:dyDescent="0.3">
      <c r="A5" s="8" t="s">
        <v>4</v>
      </c>
      <c r="B5" s="9" t="s">
        <v>5</v>
      </c>
    </row>
    <row r="6" spans="1:6" ht="30" customHeight="1" x14ac:dyDescent="0.3">
      <c r="A6" s="8" t="s">
        <v>6</v>
      </c>
      <c r="B6" s="9" t="s">
        <v>7</v>
      </c>
    </row>
    <row r="7" spans="1:6" ht="30" customHeight="1" x14ac:dyDescent="0.3">
      <c r="A7" s="8" t="s">
        <v>8</v>
      </c>
      <c r="B7" s="9" t="s">
        <v>9</v>
      </c>
    </row>
    <row r="8" spans="1:6" ht="30" customHeight="1" x14ac:dyDescent="0.3">
      <c r="A8" s="8" t="s">
        <v>10</v>
      </c>
      <c r="B8" s="9" t="s">
        <v>11</v>
      </c>
    </row>
    <row r="9" spans="1:6" ht="30" customHeight="1" x14ac:dyDescent="0.3">
      <c r="A9" s="8" t="s">
        <v>12</v>
      </c>
      <c r="B9" s="9" t="s">
        <v>13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8"/>
  <sheetViews>
    <sheetView zoomScaleNormal="100" workbookViewId="0">
      <selection activeCell="B3" sqref="B3"/>
    </sheetView>
  </sheetViews>
  <sheetFormatPr defaultColWidth="8.6640625" defaultRowHeight="14.4" x14ac:dyDescent="0.3"/>
  <cols>
    <col min="1" max="1" width="26" customWidth="1"/>
    <col min="2" max="2" width="16" customWidth="1"/>
    <col min="3" max="3" width="14" customWidth="1"/>
    <col min="4" max="6" width="12" customWidth="1"/>
    <col min="7" max="7" width="40" customWidth="1"/>
  </cols>
  <sheetData>
    <row r="1" spans="1:7" ht="25.5" customHeight="1" x14ac:dyDescent="0.3">
      <c r="A1" s="6" t="s">
        <v>14</v>
      </c>
      <c r="B1" s="6"/>
      <c r="C1" s="6"/>
      <c r="D1" s="6"/>
      <c r="E1" s="6"/>
      <c r="F1" s="6"/>
      <c r="G1" s="6"/>
    </row>
    <row r="3" spans="1:7" ht="15" customHeight="1" x14ac:dyDescent="0.3">
      <c r="A3" s="8" t="s">
        <v>15</v>
      </c>
      <c r="B3" s="16">
        <v>46237</v>
      </c>
    </row>
    <row r="5" spans="1:7" ht="15" customHeight="1" x14ac:dyDescent="0.3">
      <c r="A5" s="11" t="s">
        <v>16</v>
      </c>
    </row>
    <row r="6" spans="1:7" ht="23.25" customHeight="1" x14ac:dyDescent="0.3">
      <c r="A6" s="12" t="s">
        <v>17</v>
      </c>
      <c r="B6" s="12" t="s">
        <v>18</v>
      </c>
      <c r="C6" s="12" t="s">
        <v>19</v>
      </c>
      <c r="D6" s="12" t="s">
        <v>20</v>
      </c>
      <c r="E6" s="12" t="s">
        <v>132</v>
      </c>
      <c r="F6" s="12" t="s">
        <v>133</v>
      </c>
      <c r="G6" s="12"/>
    </row>
    <row r="7" spans="1:7" ht="15" customHeight="1" x14ac:dyDescent="0.3">
      <c r="A7" s="13" t="s">
        <v>21</v>
      </c>
      <c r="B7" s="10" t="s">
        <v>131</v>
      </c>
      <c r="C7" s="13" t="str">
        <f>IF(B7="","",IF(B7&lt;5,"Y","N"))</f>
        <v>N</v>
      </c>
      <c r="D7" s="10"/>
      <c r="E7" s="13"/>
      <c r="F7" s="13"/>
      <c r="G7" s="13"/>
    </row>
    <row r="8" spans="1:7" ht="15" customHeight="1" x14ac:dyDescent="0.3">
      <c r="A8" s="13" t="s">
        <v>22</v>
      </c>
      <c r="B8" s="10">
        <v>4</v>
      </c>
      <c r="C8" s="13" t="str">
        <f>IF(B8="","",IF(B8&lt;5,"Y","N"))</f>
        <v>Y</v>
      </c>
      <c r="D8" s="10"/>
      <c r="E8" s="13" t="s">
        <v>134</v>
      </c>
      <c r="F8" s="13">
        <v>0.91</v>
      </c>
      <c r="G8" s="13" t="s">
        <v>135</v>
      </c>
    </row>
    <row r="9" spans="1:7" ht="15" customHeight="1" x14ac:dyDescent="0.3">
      <c r="A9" s="13" t="s">
        <v>23</v>
      </c>
      <c r="B9" s="10" t="s">
        <v>131</v>
      </c>
      <c r="C9" s="13" t="str">
        <f>IF(B9="","",IF(B9&lt;5,"Y","N"))</f>
        <v>N</v>
      </c>
      <c r="D9" s="10"/>
      <c r="E9" s="13"/>
      <c r="F9" s="13"/>
      <c r="G9" s="13"/>
    </row>
    <row r="10" spans="1:7" ht="15" customHeight="1" x14ac:dyDescent="0.3">
      <c r="A10" s="13" t="s">
        <v>24</v>
      </c>
      <c r="B10" s="10">
        <v>3</v>
      </c>
      <c r="C10" s="13" t="str">
        <f>IF(B10="","",IF(B10&lt;5,"Y","N"))</f>
        <v>Y</v>
      </c>
      <c r="D10" s="10"/>
      <c r="E10" s="13" t="s">
        <v>136</v>
      </c>
      <c r="F10" s="13">
        <v>1.55</v>
      </c>
      <c r="G10" s="13" t="s">
        <v>137</v>
      </c>
    </row>
    <row r="12" spans="1:7" ht="15" customHeight="1" x14ac:dyDescent="0.3">
      <c r="A12" s="11" t="s">
        <v>25</v>
      </c>
    </row>
    <row r="13" spans="1:7" ht="23.25" customHeight="1" x14ac:dyDescent="0.3">
      <c r="A13" s="12" t="s">
        <v>17</v>
      </c>
      <c r="B13" s="12" t="s">
        <v>26</v>
      </c>
      <c r="C13" s="12" t="s">
        <v>27</v>
      </c>
      <c r="D13" s="12" t="s">
        <v>28</v>
      </c>
      <c r="E13" s="12" t="s">
        <v>29</v>
      </c>
      <c r="F13" s="12"/>
      <c r="G13" s="12" t="s">
        <v>30</v>
      </c>
    </row>
    <row r="14" spans="1:7" ht="15" customHeight="1" x14ac:dyDescent="0.3">
      <c r="A14" s="13" t="s">
        <v>21</v>
      </c>
      <c r="B14" s="10"/>
      <c r="C14" s="10"/>
      <c r="D14" s="10"/>
      <c r="E14" s="10"/>
      <c r="F14" s="13"/>
      <c r="G14" s="14"/>
    </row>
    <row r="15" spans="1:7" ht="15" customHeight="1" x14ac:dyDescent="0.3">
      <c r="A15" s="13" t="s">
        <v>22</v>
      </c>
      <c r="B15" s="10"/>
      <c r="C15" s="10"/>
      <c r="D15" s="10"/>
      <c r="E15" s="10"/>
      <c r="F15" s="13"/>
      <c r="G15" s="14"/>
    </row>
    <row r="16" spans="1:7" ht="15" customHeight="1" x14ac:dyDescent="0.3">
      <c r="A16" s="13" t="s">
        <v>23</v>
      </c>
      <c r="B16" s="10"/>
      <c r="C16" s="10"/>
      <c r="D16" s="10"/>
      <c r="E16" s="10"/>
      <c r="F16" s="13"/>
      <c r="G16" s="14"/>
    </row>
    <row r="17" spans="1:7" ht="15" customHeight="1" x14ac:dyDescent="0.3">
      <c r="A17" s="13" t="s">
        <v>24</v>
      </c>
      <c r="B17" s="10"/>
      <c r="C17" s="10"/>
      <c r="D17" s="10"/>
      <c r="E17" s="10"/>
      <c r="F17" s="13"/>
      <c r="G17" s="14"/>
    </row>
    <row r="19" spans="1:7" ht="15" customHeight="1" x14ac:dyDescent="0.3">
      <c r="A19" s="11" t="s">
        <v>31</v>
      </c>
    </row>
    <row r="20" spans="1:7" ht="23.25" customHeight="1" x14ac:dyDescent="0.3">
      <c r="A20" s="12" t="s">
        <v>17</v>
      </c>
      <c r="B20" s="12" t="s">
        <v>32</v>
      </c>
      <c r="C20" s="12" t="s">
        <v>33</v>
      </c>
      <c r="D20" s="12" t="s">
        <v>34</v>
      </c>
      <c r="E20" s="12" t="s">
        <v>35</v>
      </c>
      <c r="F20" s="12" t="s">
        <v>36</v>
      </c>
      <c r="G20" s="12" t="s">
        <v>30</v>
      </c>
    </row>
    <row r="21" spans="1:7" ht="15" customHeight="1" x14ac:dyDescent="0.3">
      <c r="A21" s="13" t="s">
        <v>21</v>
      </c>
      <c r="B21" s="10"/>
      <c r="C21" s="10"/>
      <c r="D21" s="10"/>
      <c r="E21" s="10"/>
      <c r="F21" s="10"/>
      <c r="G21" s="14"/>
    </row>
    <row r="22" spans="1:7" ht="15" customHeight="1" x14ac:dyDescent="0.3">
      <c r="A22" s="13" t="s">
        <v>22</v>
      </c>
      <c r="B22" s="10"/>
      <c r="C22" s="10"/>
      <c r="D22" s="10"/>
      <c r="E22" s="10"/>
      <c r="F22" s="10"/>
      <c r="G22" s="14"/>
    </row>
    <row r="23" spans="1:7" ht="15" customHeight="1" x14ac:dyDescent="0.3">
      <c r="A23" s="13" t="s">
        <v>23</v>
      </c>
      <c r="B23" s="10"/>
      <c r="C23" s="10"/>
      <c r="D23" s="10"/>
      <c r="E23" s="10"/>
      <c r="F23" s="10"/>
      <c r="G23" s="14"/>
    </row>
    <row r="24" spans="1:7" ht="15" customHeight="1" x14ac:dyDescent="0.3">
      <c r="A24" s="13" t="s">
        <v>24</v>
      </c>
      <c r="B24" s="10"/>
      <c r="C24" s="10"/>
      <c r="D24" s="10"/>
      <c r="E24" s="10"/>
      <c r="F24" s="10"/>
      <c r="G24" s="14"/>
    </row>
    <row r="26" spans="1:7" ht="15" customHeight="1" x14ac:dyDescent="0.3">
      <c r="A26" s="11" t="s">
        <v>37</v>
      </c>
    </row>
    <row r="27" spans="1:7" ht="15" customHeight="1" x14ac:dyDescent="0.3">
      <c r="A27" s="8" t="s">
        <v>38</v>
      </c>
      <c r="B27" s="10"/>
    </row>
    <row r="28" spans="1:7" ht="30" customHeight="1" x14ac:dyDescent="0.3">
      <c r="A28" s="5" t="s">
        <v>39</v>
      </c>
      <c r="B28" s="5"/>
      <c r="C28" s="5"/>
      <c r="D28" s="5"/>
      <c r="E28" s="5"/>
      <c r="F28" s="5"/>
      <c r="G28" s="5"/>
    </row>
  </sheetData>
  <mergeCells count="2">
    <mergeCell ref="A1:G1"/>
    <mergeCell ref="A28:G28"/>
  </mergeCells>
  <dataValidations count="2">
    <dataValidation type="list" allowBlank="1" sqref="B14:E17" xr:uid="{00000000-0002-0000-0100-000000000000}">
      <formula1>"Pass,Fail"</formula1>
      <formula2>0</formula2>
    </dataValidation>
    <dataValidation type="list" allowBlank="1" sqref="D21:F24" xr:uid="{00000000-0002-0000-0100-000004000000}">
      <formula1>"Y,N"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3"/>
  <sheetViews>
    <sheetView tabSelected="1" topLeftCell="A9" zoomScaleNormal="100" workbookViewId="0">
      <selection activeCell="B22" sqref="B22"/>
    </sheetView>
  </sheetViews>
  <sheetFormatPr defaultColWidth="8.6640625" defaultRowHeight="14.4" x14ac:dyDescent="0.3"/>
  <cols>
    <col min="1" max="1" width="20" customWidth="1"/>
    <col min="2" max="2" width="16" customWidth="1"/>
    <col min="3" max="3" width="18" customWidth="1"/>
    <col min="4" max="4" width="12" customWidth="1"/>
    <col min="5" max="5" width="40" customWidth="1"/>
  </cols>
  <sheetData>
    <row r="1" spans="1:5" ht="25.5" customHeight="1" x14ac:dyDescent="0.3">
      <c r="A1" s="6" t="s">
        <v>40</v>
      </c>
      <c r="B1" s="6"/>
      <c r="C1" s="6"/>
      <c r="D1" s="6"/>
      <c r="E1" s="6"/>
    </row>
    <row r="3" spans="1:5" ht="15" customHeight="1" x14ac:dyDescent="0.3">
      <c r="A3" s="8" t="s">
        <v>41</v>
      </c>
      <c r="B3" s="16">
        <v>46237</v>
      </c>
    </row>
    <row r="4" spans="1:5" ht="15" customHeight="1" x14ac:dyDescent="0.3">
      <c r="A4" s="8" t="s">
        <v>42</v>
      </c>
      <c r="B4" s="10" t="s">
        <v>43</v>
      </c>
    </row>
    <row r="6" spans="1:5" ht="15" customHeight="1" x14ac:dyDescent="0.3">
      <c r="A6" s="11" t="s">
        <v>44</v>
      </c>
    </row>
    <row r="7" spans="1:5" ht="15" customHeight="1" x14ac:dyDescent="0.3">
      <c r="A7" s="12" t="s">
        <v>45</v>
      </c>
      <c r="B7" s="12" t="s">
        <v>46</v>
      </c>
      <c r="C7" s="12" t="s">
        <v>47</v>
      </c>
      <c r="D7" s="12" t="s">
        <v>48</v>
      </c>
      <c r="E7" s="12" t="s">
        <v>30</v>
      </c>
    </row>
    <row r="8" spans="1:5" ht="15" customHeight="1" x14ac:dyDescent="0.3">
      <c r="A8" s="13" t="s">
        <v>49</v>
      </c>
      <c r="B8" s="10" t="s">
        <v>138</v>
      </c>
      <c r="C8" s="10" t="s">
        <v>139</v>
      </c>
      <c r="D8" s="10" t="s">
        <v>140</v>
      </c>
      <c r="E8" s="14"/>
    </row>
    <row r="9" spans="1:5" ht="15" customHeight="1" x14ac:dyDescent="0.3">
      <c r="A9" s="13" t="s">
        <v>50</v>
      </c>
      <c r="B9" s="10" t="s">
        <v>138</v>
      </c>
      <c r="C9" s="10" t="s">
        <v>139</v>
      </c>
      <c r="D9" s="10" t="s">
        <v>140</v>
      </c>
      <c r="E9" s="14"/>
    </row>
    <row r="10" spans="1:5" ht="15" customHeight="1" x14ac:dyDescent="0.3">
      <c r="A10" s="13" t="s">
        <v>51</v>
      </c>
      <c r="B10" s="10" t="s">
        <v>138</v>
      </c>
      <c r="C10" s="10" t="s">
        <v>140</v>
      </c>
      <c r="D10" s="10" t="s">
        <v>139</v>
      </c>
      <c r="E10" s="14"/>
    </row>
    <row r="12" spans="1:5" ht="15" customHeight="1" x14ac:dyDescent="0.3">
      <c r="A12" s="8" t="s">
        <v>52</v>
      </c>
      <c r="B12" s="13" t="s">
        <v>51</v>
      </c>
    </row>
    <row r="14" spans="1:5" ht="15" customHeight="1" x14ac:dyDescent="0.3">
      <c r="A14" s="11" t="s">
        <v>53</v>
      </c>
    </row>
    <row r="15" spans="1:5" ht="23.25" customHeight="1" x14ac:dyDescent="0.3">
      <c r="A15" s="12" t="s">
        <v>54</v>
      </c>
      <c r="B15" s="12" t="s">
        <v>55</v>
      </c>
      <c r="C15" s="12" t="s">
        <v>56</v>
      </c>
      <c r="D15" s="12"/>
      <c r="E15" s="12" t="s">
        <v>30</v>
      </c>
    </row>
    <row r="16" spans="1:5" ht="15" customHeight="1" x14ac:dyDescent="0.3">
      <c r="A16" s="13">
        <v>1</v>
      </c>
      <c r="B16" s="10" t="s">
        <v>140</v>
      </c>
      <c r="C16" s="10" t="s">
        <v>140</v>
      </c>
      <c r="D16" s="13"/>
      <c r="E16" s="14"/>
    </row>
    <row r="17" spans="1:5" ht="15" customHeight="1" x14ac:dyDescent="0.3">
      <c r="A17" s="13">
        <v>2</v>
      </c>
      <c r="B17" s="10" t="s">
        <v>139</v>
      </c>
      <c r="C17" s="10" t="s">
        <v>140</v>
      </c>
      <c r="D17" s="13"/>
      <c r="E17" s="14"/>
    </row>
    <row r="18" spans="1:5" ht="15" customHeight="1" x14ac:dyDescent="0.3">
      <c r="A18" s="13">
        <v>3</v>
      </c>
      <c r="B18" s="10" t="s">
        <v>140</v>
      </c>
      <c r="C18" s="10" t="s">
        <v>139</v>
      </c>
      <c r="D18" s="13"/>
      <c r="E18" s="14"/>
    </row>
    <row r="20" spans="1:5" ht="15" customHeight="1" x14ac:dyDescent="0.3">
      <c r="A20" s="8" t="s">
        <v>57</v>
      </c>
      <c r="C20" s="10" t="s">
        <v>141</v>
      </c>
    </row>
    <row r="22" spans="1:5" ht="15" customHeight="1" x14ac:dyDescent="0.3">
      <c r="A22" s="11" t="s">
        <v>37</v>
      </c>
      <c r="B22" t="s">
        <v>142</v>
      </c>
    </row>
    <row r="23" spans="1:5" ht="39.75" customHeight="1" x14ac:dyDescent="0.3">
      <c r="A23" s="5" t="s">
        <v>58</v>
      </c>
      <c r="B23" s="5"/>
      <c r="C23" s="5"/>
      <c r="D23" s="5"/>
      <c r="E23" s="5"/>
    </row>
  </sheetData>
  <mergeCells count="2">
    <mergeCell ref="A1:E1"/>
    <mergeCell ref="A23:E23"/>
  </mergeCells>
  <dataValidations count="2">
    <dataValidation type="list" allowBlank="1" sqref="B8:B10" xr:uid="{C5FB84F9-1E32-4D47-BDFA-092DD61A1488}">
      <formula1>"Pass,Fail"</formula1>
      <formula2>0</formula2>
    </dataValidation>
    <dataValidation type="list" allowBlank="1" sqref="C8:D10 B16:C18" xr:uid="{00000000-0002-0000-0200-000001000000}">
      <formula1>"Y,N"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5"/>
  <sheetViews>
    <sheetView zoomScaleNormal="100" workbookViewId="0"/>
  </sheetViews>
  <sheetFormatPr defaultColWidth="8.6640625" defaultRowHeight="14.4" x14ac:dyDescent="0.3"/>
  <cols>
    <col min="1" max="1" width="20" customWidth="1"/>
    <col min="2" max="3" width="14" customWidth="1"/>
    <col min="4" max="4" width="30" customWidth="1"/>
    <col min="5" max="5" width="14" customWidth="1"/>
    <col min="6" max="6" width="30" customWidth="1"/>
  </cols>
  <sheetData>
    <row r="1" spans="1:6" ht="25.5" customHeight="1" x14ac:dyDescent="0.3">
      <c r="A1" s="6" t="s">
        <v>59</v>
      </c>
      <c r="B1" s="6"/>
      <c r="C1" s="6"/>
      <c r="D1" s="6"/>
      <c r="E1" s="6"/>
      <c r="F1" s="6"/>
    </row>
    <row r="3" spans="1:6" ht="15" customHeight="1" x14ac:dyDescent="0.3">
      <c r="A3" s="8" t="s">
        <v>41</v>
      </c>
      <c r="B3" s="10"/>
    </row>
    <row r="4" spans="1:6" ht="30" customHeight="1" x14ac:dyDescent="0.3">
      <c r="A4" s="5" t="s">
        <v>60</v>
      </c>
      <c r="B4" s="5"/>
      <c r="C4" s="5"/>
      <c r="D4" s="5"/>
      <c r="E4" s="5"/>
      <c r="F4" s="5"/>
    </row>
    <row r="6" spans="1:6" ht="23.25" customHeight="1" x14ac:dyDescent="0.3">
      <c r="A6" s="12" t="s">
        <v>61</v>
      </c>
      <c r="B6" s="12" t="s">
        <v>62</v>
      </c>
      <c r="C6" s="12" t="s">
        <v>63</v>
      </c>
      <c r="D6" s="12" t="s">
        <v>64</v>
      </c>
      <c r="E6" s="12" t="s">
        <v>65</v>
      </c>
      <c r="F6" s="12" t="s">
        <v>30</v>
      </c>
    </row>
    <row r="7" spans="1:6" ht="15" customHeight="1" x14ac:dyDescent="0.3">
      <c r="A7" s="13" t="s">
        <v>66</v>
      </c>
      <c r="B7" s="13" t="s">
        <v>67</v>
      </c>
      <c r="C7" s="13" t="s">
        <v>68</v>
      </c>
      <c r="D7" s="10"/>
      <c r="E7" s="10"/>
      <c r="F7" s="14"/>
    </row>
    <row r="8" spans="1:6" ht="15" customHeight="1" x14ac:dyDescent="0.3">
      <c r="A8" s="13"/>
      <c r="B8" s="13"/>
      <c r="C8" s="13" t="s">
        <v>69</v>
      </c>
      <c r="D8" s="10"/>
      <c r="E8" s="10"/>
      <c r="F8" s="14"/>
    </row>
    <row r="9" spans="1:6" ht="15" customHeight="1" x14ac:dyDescent="0.3">
      <c r="A9" s="13"/>
      <c r="B9" s="13"/>
      <c r="C9" s="13" t="s">
        <v>70</v>
      </c>
      <c r="D9" s="10"/>
      <c r="E9" s="10"/>
      <c r="F9" s="14"/>
    </row>
    <row r="10" spans="1:6" ht="15" customHeight="1" x14ac:dyDescent="0.3">
      <c r="A10" s="13" t="s">
        <v>71</v>
      </c>
      <c r="B10" s="13" t="s">
        <v>72</v>
      </c>
      <c r="C10" s="13" t="s">
        <v>68</v>
      </c>
      <c r="D10" s="10"/>
      <c r="E10" s="10"/>
      <c r="F10" s="14"/>
    </row>
    <row r="11" spans="1:6" ht="15" customHeight="1" x14ac:dyDescent="0.3">
      <c r="A11" s="13"/>
      <c r="B11" s="13"/>
      <c r="C11" s="13" t="s">
        <v>69</v>
      </c>
      <c r="D11" s="10"/>
      <c r="E11" s="10"/>
      <c r="F11" s="14"/>
    </row>
    <row r="12" spans="1:6" ht="15" customHeight="1" x14ac:dyDescent="0.3">
      <c r="A12" s="13"/>
      <c r="B12" s="13"/>
      <c r="C12" s="13" t="s">
        <v>70</v>
      </c>
      <c r="D12" s="10"/>
      <c r="E12" s="10"/>
      <c r="F12" s="14"/>
    </row>
    <row r="13" spans="1:6" ht="15" customHeight="1" x14ac:dyDescent="0.3">
      <c r="A13" s="13" t="s">
        <v>73</v>
      </c>
      <c r="B13" s="13" t="s">
        <v>74</v>
      </c>
      <c r="C13" s="13" t="s">
        <v>68</v>
      </c>
      <c r="D13" s="10"/>
      <c r="E13" s="10"/>
      <c r="F13" s="14"/>
    </row>
    <row r="14" spans="1:6" ht="15" customHeight="1" x14ac:dyDescent="0.3">
      <c r="A14" s="13"/>
      <c r="B14" s="13"/>
      <c r="C14" s="13" t="s">
        <v>69</v>
      </c>
      <c r="D14" s="10"/>
      <c r="E14" s="10"/>
      <c r="F14" s="14"/>
    </row>
    <row r="15" spans="1:6" ht="15" customHeight="1" x14ac:dyDescent="0.3">
      <c r="A15" s="13"/>
      <c r="B15" s="13"/>
      <c r="C15" s="13" t="s">
        <v>70</v>
      </c>
      <c r="D15" s="10"/>
      <c r="E15" s="10"/>
      <c r="F15" s="14"/>
    </row>
    <row r="16" spans="1:6" ht="15" customHeight="1" x14ac:dyDescent="0.3">
      <c r="A16" s="13" t="s">
        <v>75</v>
      </c>
      <c r="B16" s="13" t="s">
        <v>76</v>
      </c>
      <c r="C16" s="13" t="s">
        <v>68</v>
      </c>
      <c r="D16" s="10"/>
      <c r="E16" s="10"/>
      <c r="F16" s="14"/>
    </row>
    <row r="17" spans="1:6" ht="15" customHeight="1" x14ac:dyDescent="0.3">
      <c r="A17" s="13"/>
      <c r="B17" s="13"/>
      <c r="C17" s="13" t="s">
        <v>69</v>
      </c>
      <c r="D17" s="10"/>
      <c r="E17" s="10"/>
      <c r="F17" s="14"/>
    </row>
    <row r="18" spans="1:6" ht="15" customHeight="1" x14ac:dyDescent="0.3">
      <c r="A18" s="13"/>
      <c r="B18" s="13"/>
      <c r="C18" s="13" t="s">
        <v>70</v>
      </c>
      <c r="D18" s="10"/>
      <c r="E18" s="10"/>
      <c r="F18" s="14"/>
    </row>
    <row r="19" spans="1:6" ht="15" customHeight="1" x14ac:dyDescent="0.3">
      <c r="A19" s="13" t="s">
        <v>77</v>
      </c>
      <c r="B19" s="13" t="s">
        <v>78</v>
      </c>
      <c r="C19" s="13" t="s">
        <v>68</v>
      </c>
      <c r="D19" s="10"/>
      <c r="E19" s="10"/>
      <c r="F19" s="14"/>
    </row>
    <row r="20" spans="1:6" ht="15" customHeight="1" x14ac:dyDescent="0.3">
      <c r="A20" s="13"/>
      <c r="B20" s="13"/>
      <c r="C20" s="13" t="s">
        <v>69</v>
      </c>
      <c r="D20" s="10"/>
      <c r="E20" s="10"/>
      <c r="F20" s="14"/>
    </row>
    <row r="21" spans="1:6" ht="15" customHeight="1" x14ac:dyDescent="0.3">
      <c r="A21" s="13"/>
      <c r="B21" s="13"/>
      <c r="C21" s="13" t="s">
        <v>70</v>
      </c>
      <c r="D21" s="10"/>
      <c r="E21" s="10"/>
      <c r="F21" s="14"/>
    </row>
    <row r="23" spans="1:6" ht="15" customHeight="1" x14ac:dyDescent="0.3">
      <c r="A23" s="4" t="s">
        <v>79</v>
      </c>
      <c r="B23" s="4"/>
      <c r="C23" s="4"/>
      <c r="D23" s="3"/>
      <c r="E23" s="3"/>
      <c r="F23" s="3"/>
    </row>
    <row r="25" spans="1:6" ht="30" customHeight="1" x14ac:dyDescent="0.3">
      <c r="A25" s="5" t="s">
        <v>80</v>
      </c>
      <c r="B25" s="5"/>
      <c r="C25" s="5"/>
      <c r="D25" s="5"/>
      <c r="E25" s="5"/>
      <c r="F25" s="5"/>
    </row>
  </sheetData>
  <mergeCells count="5">
    <mergeCell ref="A1:F1"/>
    <mergeCell ref="A4:F4"/>
    <mergeCell ref="A23:C23"/>
    <mergeCell ref="D23:F23"/>
    <mergeCell ref="A25:F25"/>
  </mergeCells>
  <dataValidations count="2">
    <dataValidation type="list" allowBlank="1" sqref="D7:D21" xr:uid="{00000000-0002-0000-0300-000000000000}">
      <formula1>"Pass,Marginal,Fail"</formula1>
      <formula2>0</formula2>
    </dataValidation>
    <dataValidation type="list" allowBlank="1" sqref="E7:E21" xr:uid="{00000000-0002-0000-0300-000001000000}">
      <formula1>"Y,N"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7"/>
  <sheetViews>
    <sheetView zoomScaleNormal="100" workbookViewId="0"/>
  </sheetViews>
  <sheetFormatPr defaultColWidth="8.6640625" defaultRowHeight="14.4" x14ac:dyDescent="0.3"/>
  <cols>
    <col min="1" max="1" width="22" customWidth="1"/>
    <col min="2" max="2" width="16" customWidth="1"/>
    <col min="3" max="6" width="30" customWidth="1"/>
  </cols>
  <sheetData>
    <row r="1" spans="1:6" ht="25.5" customHeight="1" x14ac:dyDescent="0.3">
      <c r="A1" s="6" t="s">
        <v>81</v>
      </c>
      <c r="B1" s="6"/>
      <c r="C1" s="6"/>
      <c r="D1" s="6"/>
      <c r="E1" s="6"/>
      <c r="F1" s="6"/>
    </row>
    <row r="3" spans="1:6" ht="15" customHeight="1" x14ac:dyDescent="0.3">
      <c r="A3" s="2" t="s">
        <v>82</v>
      </c>
      <c r="B3" s="2"/>
      <c r="C3" s="2"/>
      <c r="D3" s="2"/>
      <c r="E3" s="2"/>
      <c r="F3" s="2"/>
    </row>
    <row r="5" spans="1:6" ht="15" customHeight="1" x14ac:dyDescent="0.3">
      <c r="A5" s="8" t="s">
        <v>83</v>
      </c>
      <c r="B5" s="3"/>
      <c r="C5" s="3"/>
      <c r="D5" s="8" t="s">
        <v>84</v>
      </c>
      <c r="E5" s="3"/>
      <c r="F5" s="3"/>
    </row>
    <row r="7" spans="1:6" ht="30" customHeight="1" x14ac:dyDescent="0.3">
      <c r="A7" s="5" t="s">
        <v>85</v>
      </c>
      <c r="B7" s="5"/>
      <c r="C7" s="5"/>
      <c r="D7" s="5"/>
      <c r="E7" s="5"/>
      <c r="F7" s="5"/>
    </row>
    <row r="9" spans="1:6" ht="15" customHeight="1" x14ac:dyDescent="0.3">
      <c r="A9" s="11" t="s">
        <v>86</v>
      </c>
    </row>
    <row r="10" spans="1:6" ht="15" customHeight="1" x14ac:dyDescent="0.3">
      <c r="A10" s="12" t="s">
        <v>87</v>
      </c>
      <c r="B10" s="12" t="s">
        <v>88</v>
      </c>
      <c r="C10" s="12" t="s">
        <v>89</v>
      </c>
      <c r="D10" s="12" t="s">
        <v>90</v>
      </c>
      <c r="E10" s="12" t="s">
        <v>91</v>
      </c>
      <c r="F10" s="12" t="s">
        <v>92</v>
      </c>
    </row>
    <row r="11" spans="1:6" ht="15" customHeight="1" x14ac:dyDescent="0.3">
      <c r="A11" s="13" t="s">
        <v>93</v>
      </c>
      <c r="B11" s="10"/>
      <c r="C11" s="10"/>
      <c r="D11" s="10"/>
      <c r="E11" s="10"/>
      <c r="F11" s="10"/>
    </row>
    <row r="12" spans="1:6" ht="15" customHeight="1" x14ac:dyDescent="0.3">
      <c r="A12" s="13" t="s">
        <v>94</v>
      </c>
      <c r="B12" s="10"/>
      <c r="C12" s="10"/>
      <c r="D12" s="10"/>
      <c r="E12" s="10"/>
      <c r="F12" s="10"/>
    </row>
    <row r="13" spans="1:6" ht="15" customHeight="1" x14ac:dyDescent="0.3">
      <c r="A13" s="13" t="s">
        <v>95</v>
      </c>
      <c r="B13" s="10"/>
      <c r="C13" s="10"/>
      <c r="D13" s="10"/>
      <c r="E13" s="10"/>
      <c r="F13" s="10"/>
    </row>
    <row r="14" spans="1:6" ht="15" customHeight="1" x14ac:dyDescent="0.3">
      <c r="A14" s="13" t="s">
        <v>96</v>
      </c>
      <c r="B14" s="10"/>
      <c r="C14" s="10"/>
      <c r="D14" s="10"/>
      <c r="E14" s="10"/>
      <c r="F14" s="10"/>
    </row>
    <row r="15" spans="1:6" ht="15" customHeight="1" x14ac:dyDescent="0.3">
      <c r="A15" s="13" t="s">
        <v>97</v>
      </c>
      <c r="B15" s="10"/>
      <c r="C15" s="10"/>
      <c r="D15" s="10"/>
      <c r="E15" s="10"/>
      <c r="F15" s="10"/>
    </row>
    <row r="16" spans="1:6" ht="15" customHeight="1" x14ac:dyDescent="0.3">
      <c r="A16" s="13" t="s">
        <v>98</v>
      </c>
      <c r="B16" s="10"/>
      <c r="C16" s="10"/>
      <c r="D16" s="10"/>
      <c r="E16" s="10"/>
      <c r="F16" s="10"/>
    </row>
    <row r="17" spans="1:6" ht="15" customHeight="1" x14ac:dyDescent="0.3">
      <c r="A17" s="13" t="s">
        <v>99</v>
      </c>
      <c r="B17" s="10"/>
      <c r="C17" s="10"/>
      <c r="D17" s="10"/>
      <c r="E17" s="10"/>
      <c r="F17" s="10"/>
    </row>
    <row r="19" spans="1:6" ht="15" customHeight="1" x14ac:dyDescent="0.3">
      <c r="A19" s="11" t="s">
        <v>100</v>
      </c>
    </row>
    <row r="20" spans="1:6" ht="15" customHeight="1" x14ac:dyDescent="0.3">
      <c r="A20" s="12" t="s">
        <v>101</v>
      </c>
      <c r="B20" s="12" t="s">
        <v>102</v>
      </c>
      <c r="C20" s="12"/>
      <c r="D20" s="12"/>
      <c r="E20" s="12"/>
      <c r="F20" s="12" t="s">
        <v>30</v>
      </c>
    </row>
    <row r="21" spans="1:6" ht="15" customHeight="1" x14ac:dyDescent="0.3">
      <c r="A21" s="13" t="s">
        <v>103</v>
      </c>
      <c r="B21" s="10"/>
      <c r="C21" s="13"/>
      <c r="D21" s="13"/>
      <c r="E21" s="13"/>
      <c r="F21" s="14"/>
    </row>
    <row r="22" spans="1:6" ht="15" customHeight="1" x14ac:dyDescent="0.3">
      <c r="A22" s="13" t="s">
        <v>104</v>
      </c>
      <c r="B22" s="10"/>
      <c r="C22" s="13"/>
      <c r="D22" s="13"/>
      <c r="E22" s="13"/>
      <c r="F22" s="14"/>
    </row>
    <row r="23" spans="1:6" ht="15" customHeight="1" x14ac:dyDescent="0.3">
      <c r="A23" s="13" t="s">
        <v>105</v>
      </c>
      <c r="B23" s="10"/>
      <c r="C23" s="13"/>
      <c r="D23" s="13"/>
      <c r="E23" s="13"/>
      <c r="F23" s="14"/>
    </row>
    <row r="24" spans="1:6" ht="15" customHeight="1" x14ac:dyDescent="0.3">
      <c r="A24" s="13" t="s">
        <v>106</v>
      </c>
      <c r="B24" s="10"/>
      <c r="C24" s="13"/>
      <c r="D24" s="13"/>
      <c r="E24" s="13"/>
      <c r="F24" s="14"/>
    </row>
    <row r="26" spans="1:6" ht="15" customHeight="1" x14ac:dyDescent="0.3">
      <c r="A26" s="11" t="s">
        <v>37</v>
      </c>
    </row>
    <row r="27" spans="1:6" ht="39.75" customHeight="1" x14ac:dyDescent="0.3">
      <c r="A27" s="5" t="s">
        <v>107</v>
      </c>
      <c r="B27" s="5"/>
      <c r="C27" s="5"/>
      <c r="D27" s="5"/>
      <c r="E27" s="5"/>
      <c r="F27" s="5"/>
    </row>
  </sheetData>
  <mergeCells count="6">
    <mergeCell ref="A27:F27"/>
    <mergeCell ref="A1:F1"/>
    <mergeCell ref="A3:F3"/>
    <mergeCell ref="B5:C5"/>
    <mergeCell ref="E5:F5"/>
    <mergeCell ref="A7:F7"/>
  </mergeCells>
  <dataValidations count="1">
    <dataValidation type="list" allowBlank="1" sqref="B21:B24 C11:F17" xr:uid="{00000000-0002-0000-0400-000000000000}">
      <formula1>"Y,N"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21"/>
  <sheetViews>
    <sheetView zoomScaleNormal="100" workbookViewId="0"/>
  </sheetViews>
  <sheetFormatPr defaultColWidth="8.6640625" defaultRowHeight="14.4" x14ac:dyDescent="0.3"/>
  <cols>
    <col min="1" max="1" width="24" customWidth="1"/>
    <col min="2" max="2" width="18" customWidth="1"/>
    <col min="3" max="3" width="20" customWidth="1"/>
    <col min="4" max="5" width="16" customWidth="1"/>
    <col min="6" max="6" width="34" customWidth="1"/>
  </cols>
  <sheetData>
    <row r="1" spans="1:6" ht="25.5" customHeight="1" x14ac:dyDescent="0.3">
      <c r="A1" s="6" t="s">
        <v>108</v>
      </c>
      <c r="B1" s="6"/>
      <c r="C1" s="6"/>
      <c r="D1" s="6"/>
      <c r="E1" s="6"/>
      <c r="F1" s="6"/>
    </row>
    <row r="3" spans="1:6" ht="45" customHeight="1" x14ac:dyDescent="0.3">
      <c r="A3" s="1" t="s">
        <v>109</v>
      </c>
      <c r="B3" s="1"/>
      <c r="C3" s="1"/>
      <c r="D3" s="1"/>
      <c r="E3" s="1"/>
      <c r="F3" s="1"/>
    </row>
    <row r="5" spans="1:6" ht="15" customHeight="1" x14ac:dyDescent="0.3">
      <c r="A5" s="11" t="s">
        <v>110</v>
      </c>
    </row>
    <row r="6" spans="1:6" ht="23.25" customHeight="1" x14ac:dyDescent="0.3">
      <c r="A6" s="12" t="s">
        <v>111</v>
      </c>
      <c r="B6" s="12" t="s">
        <v>112</v>
      </c>
      <c r="C6" s="12" t="s">
        <v>113</v>
      </c>
      <c r="D6" s="12" t="s">
        <v>114</v>
      </c>
      <c r="E6" s="12" t="s">
        <v>115</v>
      </c>
      <c r="F6" s="12" t="s">
        <v>30</v>
      </c>
    </row>
    <row r="7" spans="1:6" ht="15" customHeight="1" x14ac:dyDescent="0.3">
      <c r="A7" s="13" t="s">
        <v>116</v>
      </c>
      <c r="B7" s="13" t="s">
        <v>117</v>
      </c>
      <c r="C7" s="10"/>
      <c r="D7" s="10"/>
      <c r="E7" s="10"/>
      <c r="F7" s="14"/>
    </row>
    <row r="8" spans="1:6" ht="15" customHeight="1" x14ac:dyDescent="0.3">
      <c r="A8" s="13" t="s">
        <v>118</v>
      </c>
      <c r="B8" s="13" t="s">
        <v>119</v>
      </c>
      <c r="C8" s="10"/>
      <c r="D8" s="10"/>
      <c r="E8" s="10"/>
      <c r="F8" s="14"/>
    </row>
    <row r="10" spans="1:6" ht="15" customHeight="1" x14ac:dyDescent="0.3">
      <c r="A10" s="11" t="s">
        <v>120</v>
      </c>
    </row>
    <row r="11" spans="1:6" ht="45" customHeight="1" x14ac:dyDescent="0.3">
      <c r="A11" s="1" t="s">
        <v>121</v>
      </c>
      <c r="B11" s="1"/>
      <c r="C11" s="1"/>
      <c r="D11" s="1"/>
      <c r="E11" s="1"/>
      <c r="F11" s="1"/>
    </row>
    <row r="13" spans="1:6" ht="23.25" customHeight="1" x14ac:dyDescent="0.3">
      <c r="A13" s="12" t="s">
        <v>101</v>
      </c>
      <c r="B13" s="12" t="s">
        <v>122</v>
      </c>
      <c r="C13" s="12" t="s">
        <v>123</v>
      </c>
      <c r="D13" s="12" t="s">
        <v>124</v>
      </c>
      <c r="E13" s="12"/>
      <c r="F13" s="12" t="s">
        <v>30</v>
      </c>
    </row>
    <row r="14" spans="1:6" ht="23.25" customHeight="1" x14ac:dyDescent="0.3">
      <c r="A14" s="15" t="s">
        <v>125</v>
      </c>
      <c r="B14" s="10"/>
      <c r="C14" s="13" t="s">
        <v>126</v>
      </c>
      <c r="D14" s="10"/>
      <c r="E14" s="13"/>
      <c r="F14" s="14"/>
    </row>
    <row r="15" spans="1:6" ht="23.25" customHeight="1" x14ac:dyDescent="0.3">
      <c r="A15" s="15" t="s">
        <v>127</v>
      </c>
      <c r="B15" s="10"/>
      <c r="C15" s="13" t="s">
        <v>126</v>
      </c>
      <c r="D15" s="10"/>
      <c r="E15" s="13"/>
      <c r="F15" s="14"/>
    </row>
    <row r="16" spans="1:6" ht="23.25" customHeight="1" x14ac:dyDescent="0.3">
      <c r="A16" s="15" t="s">
        <v>128</v>
      </c>
      <c r="B16" s="10"/>
      <c r="C16" s="13" t="s">
        <v>126</v>
      </c>
      <c r="D16" s="10"/>
      <c r="E16" s="13"/>
      <c r="F16" s="14"/>
    </row>
    <row r="18" spans="1:6" ht="15" customHeight="1" x14ac:dyDescent="0.3">
      <c r="A18" s="11" t="s">
        <v>37</v>
      </c>
    </row>
    <row r="19" spans="1:6" ht="39.75" customHeight="1" x14ac:dyDescent="0.3">
      <c r="A19" s="5" t="s">
        <v>129</v>
      </c>
      <c r="B19" s="5"/>
      <c r="C19" s="5"/>
      <c r="D19" s="5"/>
      <c r="E19" s="5"/>
      <c r="F19" s="5"/>
    </row>
    <row r="21" spans="1:6" ht="15" customHeight="1" x14ac:dyDescent="0.3">
      <c r="A21" s="8" t="s">
        <v>130</v>
      </c>
      <c r="B21" s="3"/>
      <c r="C21" s="3"/>
    </row>
  </sheetData>
  <mergeCells count="5">
    <mergeCell ref="A1:F1"/>
    <mergeCell ref="A3:F3"/>
    <mergeCell ref="A11:F11"/>
    <mergeCell ref="A19:F19"/>
    <mergeCell ref="B21:C21"/>
  </mergeCells>
  <dataValidations count="2">
    <dataValidation type="list" allowBlank="1" sqref="D7:D8 D14:D16" xr:uid="{00000000-0002-0000-0500-000000000000}">
      <formula1>"Y,N"</formula1>
      <formula2>0</formula2>
    </dataValidation>
    <dataValidation type="list" allowBlank="1" sqref="E7:E8" xr:uid="{00000000-0002-0000-0500-000001000000}">
      <formula1>"Clean,Mangled"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 Me</vt:lpstr>
      <vt:lpstr>Test 6 - Transit</vt:lpstr>
      <vt:lpstr>Corner Punch &amp; Peel-Nick</vt:lpstr>
      <vt:lpstr>Addendum 2 - Visibility</vt:lpstr>
      <vt:lpstr>Addendum 3 - Durability</vt:lpstr>
      <vt:lpstr>Addendum 4 - Cut File Format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Liron Stroh</cp:lastModifiedBy>
  <cp:revision>0</cp:revision>
  <dcterms:created xsi:type="dcterms:W3CDTF">2026-08-02T04:42:33Z</dcterms:created>
  <dcterms:modified xsi:type="dcterms:W3CDTF">2026-08-05T04:01:11Z</dcterms:modified>
  <dc:language>en-US</dc:language>
</cp:coreProperties>
</file>