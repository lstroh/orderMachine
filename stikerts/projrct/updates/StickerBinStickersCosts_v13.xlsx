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Tier 1 Equipment Costs" sheetId="1" state="visible" r:id="rId3"/>
    <sheet name="Bin Stickers 100x140 4pk" sheetId="2" state="visible" r:id="rId4"/>
    <sheet name="Packing Oct 2026" sheetId="3" state="visible" r:id="rId5"/>
    <sheet name="Bin Stickers 202x140 2pk" sheetId="4" state="visible" r:id="rId6"/>
    <sheet name="Bin Stickers 280x200 1pk" sheetId="5" state="visible" r:id="rId7"/>
    <sheet name="Cricut Costs" sheetId="6" state="visible" r:id="rId8"/>
    <sheet name="Recurring Overhead" sheetId="7" state="visible" r:id="rId9"/>
    <sheet name="cost per item" sheetId="8" state="visible" r:id="rId10"/>
    <sheet name="Ebay costs" sheetId="9" state="visible" r:id="rId11"/>
    <sheet name="Etsy" sheetId="10" state="visible" r:id="rId12"/>
    <sheet name="Amazon" sheetId="11" state="visible" r:id="rId13"/>
    <sheet name="Merge not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<sst xmlns="http://schemas.openxmlformats.org/spreadsheetml/2006/main" count="986" uniqueCount="607">
  <si>
    <t xml:space="preserve">Tier 1 Equipment Costs — Sticker Side Hustle</t>
  </si>
  <si>
    <t xml:space="preserve">Prices checked July–Sep 2026 (GBP; Explore 5, ET-3950 and laminator re-checked 19 Sep 2026). Blue = editable input. Black = calculated.</t>
  </si>
  <si>
    <t xml:space="preserve">Item</t>
  </si>
  <si>
    <t xml:space="preserve">Low (£)</t>
  </si>
  <si>
    <t xml:space="preserve">Category</t>
  </si>
  <si>
    <t xml:space="preserve">Notes</t>
  </si>
  <si>
    <t xml:space="preserve">Epson EcoTank ET-3950 (pigment-ink printer, current gen)</t>
  </si>
  <si>
    <t xml:space="preserve">Core</t>
  </si>
  <si>
    <t xml:space="preserve">Pigment black ink for waterproof prints. Epson UK £369.99 (before a £50 cashback offer), checked 19 Sep 2026</t>
  </si>
  <si>
    <t xml:space="preserve">Printable vinyl sticker paper (starter pack)</t>
  </si>
  <si>
    <t xml:space="preserve">A4 waterproof printable vinyl</t>
  </si>
  <si>
    <t xml:space="preserve">moved to r&amp;d</t>
  </si>
  <si>
    <t xml:space="preserve">Self-adhesive laminate sheets + squeegee</t>
  </si>
  <si>
    <t xml:space="preserve">Cold lamination sheets, feeds through laminator</t>
  </si>
  <si>
    <t xml:space="preserve">Manual cold roll laminator (Stickiply 14", 35cm) — ordered</t>
  </si>
  <si>
    <t xml:space="preserve">Ordered Sep 2026; Stickiply list price £115 checked 19 Sep 2026. Promoted from optional — removes bubble/wrinkle risk vs hand-applying</t>
  </si>
  <si>
    <t xml:space="preserve">Stickiply</t>
  </si>
  <si>
    <t xml:space="preserve">Backup Epson 101/102 ink bottles</t>
  </si>
  <si>
    <t xml:space="preserve">UK naming (not '502' — that's US)</t>
  </si>
  <si>
    <t xml:space="preserve">A4 guillotine/paper trimmer (metal-base)</t>
  </si>
  <si>
    <t xml:space="preserve">Trims the kiss-cut sheet into separate backed stickers (and thank-you cards to A6). Cricut cut-only now does the cutting — see Equipment Guide</t>
  </si>
  <si>
    <t xml:space="preserve">Cricut Explore 5 — Ultimate Bundle (cutting machine)</t>
  </si>
  <si>
    <t xml:space="preserve">Paid £330 (Sep 2026). Cut-only for all bin sticker sizes — see Equipment Guide</t>
  </si>
  <si>
    <t xml:space="preserve">CORE SUBTOTAL (required to start)</t>
  </si>
  <si>
    <t xml:space="preserve">ON HOLD — decide after test cuts (not in core total)</t>
  </si>
  <si>
    <t xml:space="preserve">Corner rounder punch (3-in-1)</t>
  </si>
  <si>
    <t xml:space="preserve">On hold</t>
  </si>
  <si>
    <t xml:space="preserve">Likely superseded: the Cricut cuts the rounded corners</t>
  </si>
  <si>
    <t xml:space="preserve">Slice 00200/00100 safety cutter</t>
  </si>
  <si>
    <t xml:space="preserve">May still help with a peel-start once the backing is trimmed flush — decide after test cuts</t>
  </si>
  <si>
    <t xml:space="preserve">Self-Healing Cutting Mat (A4)</t>
  </si>
  <si>
    <t xml:space="preserve">Was for the Slice workflow</t>
  </si>
  <si>
    <t xml:space="preserve">ON HOLD SUBTOTAL</t>
  </si>
  <si>
    <t xml:space="preserve">Optional Equipment (not required to launch)</t>
  </si>
  <si>
    <t xml:space="preserve">Cricut Access Standard subscription (annual)</t>
  </si>
  <si>
    <t xml:space="preserve">Optional</t>
  </si>
  <si>
    <t xml:space="preserve">~$9.99/mo; not needed for custom text/number designs — free tier covers your use case</t>
  </si>
  <si>
    <t xml:space="preserve">OPTIONAL SUBTOTAL</t>
  </si>
  <si>
    <t xml:space="preserve">TOTAL — Core + Cricut Access (recommended launch budget)</t>
  </si>
  <si>
    <t xml:space="preserve">Removed Sep 2026: the Cricut Essential Bundle and 6-ct sticker set alternatives (the Ultimate Bundle was bought; the 20-ct set is in the R&amp;D list below). On-hold tools are excluded from all totals until decided.</t>
  </si>
  <si>
    <t xml:space="preserve">R&amp;D / Testing Materials (one-off, sunk cost — see Bin-Sticker-Material-Test-Plan.md)</t>
  </si>
  <si>
    <t xml:space="preserve">count</t>
  </si>
  <si>
    <t xml:space="preserve">Matte Self-Adhesive Laminate | Pro UV × 1</t>
  </si>
  <si>
    <t xml:space="preserve">Stickiply </t>
  </si>
  <si>
    <t xml:space="preserve">Printable Vinyl Sticker Paper | Clear (A4) × 1</t>
  </si>
  <si>
    <t xml:space="preserve">R&amp;D</t>
  </si>
  <si>
    <t xml:space="preserve">One-off purchase of all 4 packaging candidates for side-by-side comparison. See Bin-Sticker-Shipping-Plan.md 'Testing shopping list' (~£33–35 total as pinned there — update once actually spent).</t>
  </si>
  <si>
    <t xml:space="preserve">Printable Vinyl Sticker Paper | Glossy (A4) × 1</t>
  </si>
  <si>
    <t xml:space="preserve">2nd Class postage for the 4 test parcels in Test 6. See Bin-Sticker-Shipping-Plan.md.</t>
  </si>
  <si>
    <t xml:space="preserve">Brown Kraft Card, A4 Card 250GSM Thick Kraft Card Stock for Cards Making, Scrapbook, Office Printing and Arts or Crafts DIY (25 Sheets)</t>
  </si>
  <si>
    <t xml:space="preserve">amazon</t>
  </si>
  <si>
    <t xml:space="preserve">Double Dragon 50-Pack A6 C6 Manilla Hard Board Backed Envelopes | 162mm x 114mm | 'Please Do Not Bend' Printed | Padded &amp; Tamper-Proof | Self-Seal Closure</t>
  </si>
  <si>
    <t xml:space="preserve">White Card, A4 Card 250GSM Thick Card Stock for Cards Making, Scrapbook, Office Printing and Arts or Crafts DIY (25 Sheets)</t>
  </si>
  <si>
    <t xml:space="preserve">SmithPackaging A4 Self Adhesive Address Labels, 1 Label Per Sheet, 100 Sheets, 199.6 x 289.1mm, 100 Labels</t>
  </si>
  <si>
    <t xml:space="preserve">40 Sheets of Acid Free Tissue Paper Cool White MG 17gsm Clothing Storage Gift Wrapping Decorative Sketch and Cutting Large Tissue Paper for Art Craft and Packing - 500mm x 750mm</t>
  </si>
  <si>
    <t xml:space="preserve">Triplast White Bubble Padded Envelopes - Pick Qty &amp; Size: 10 x 1/A (100x165mm) A6 Envelopes - Large Letter Postal Bags with Bubble Wrap Lining and Peel &amp; Seal Strip for Royal Mail Shipping &amp; Postage</t>
  </si>
  <si>
    <t xml:space="preserve">AKAR White A6/C6 Large Letter Postal Box - 112x163x20 mm - Letterbox Pip Royal Mail Small Boxes for Posting [Pack of 50]</t>
  </si>
  <si>
    <t xml:space="preserve">Printable Waterproof Sticker Set – A4 (20 ct), White</t>
  </si>
  <si>
    <t xml:space="preserve">cricut</t>
  </si>
  <si>
    <t xml:space="preserve">Shipping</t>
  </si>
  <si>
    <t xml:space="preserve">Printable Waterproof Sticker Set – A4 (20 ct), Transparent</t>
  </si>
  <si>
    <t xml:space="preserve">R&amp;D SUBTOTAL</t>
  </si>
  <si>
    <t xml:space="preserve">TOTAL SUNK STARTUP COST (Core Equipment + R&amp;D Materials)</t>
  </si>
  <si>
    <t xml:space="preserve">Excludes Optional and On-hold items (Cricut Access, corner punch, Slice, mat).</t>
  </si>
  <si>
    <t xml:space="preserve">BREAK-EVEN CALCULATOR</t>
  </si>
  <si>
    <t xml:space="preserve">Live model. Price and eBay fees come from the 'Ebay costs' sheet, direct costs from the 'Bin Stickers 100x140 4pk' sheet, overhead from 'Recurring Overhead' (active volume scenario). Change those cells and everything here updates.</t>
  </si>
  <si>
    <t xml:space="preserve">Sale price per pack, eBay (£)</t>
  </si>
  <si>
    <t xml:space="preserve">Set on the 'Ebay costs' sheet (eBay price £5.00, Oct 2026)</t>
  </si>
  <si>
    <t xml:space="preserve">eBay fees per pack incl. ads (£)</t>
  </si>
  <si>
    <t xml:space="preserve">FVF + regulatory fee + per-order fee + Promoted Listings ad rate</t>
  </si>
  <si>
    <t xml:space="preserve">Direct cost per pack (£)</t>
  </si>
  <si>
    <t xml:space="preserve">Materials + packaging + postage + address label + thank-you card. Excludes recurring overhead</t>
  </si>
  <si>
    <t xml:space="preserve">→ Profit per pack before overhead (£)</t>
  </si>
  <si>
    <t xml:space="preserve">Total sunk startup cost (from above)</t>
  </si>
  <si>
    <t xml:space="preserve">→ Packs needed to recover startup cost</t>
  </si>
  <si>
    <t xml:space="preserve">→ Individual stickers to recover startup cost</t>
  </si>
  <si>
    <t xml:space="preserve">Monthly recurring overhead (£)</t>
  </si>
  <si>
    <t xml:space="preserve">Fixed monthly subscriptions incl. virtual office (£250/yr ÷ 12)</t>
  </si>
  <si>
    <t xml:space="preserve">→ Packs per month needed to cover overhead</t>
  </si>
  <si>
    <t xml:space="preserve">→ Stickers per month needed to cover overhead</t>
  </si>
  <si>
    <t xml:space="preserve">Active overhead scenario volume (stickers/month)</t>
  </si>
  <si>
    <t xml:space="preserve">From 'Recurring Overhead' active scenario</t>
  </si>
  <si>
    <t xml:space="preserve">→ Monthly profit after overhead at that volume (£)</t>
  </si>
  <si>
    <t xml:space="preserve">If profit per pack before overhead is zero or negative, the break-even figures show N/A. Overhead is shown as a fixed monthly amount rather than per pack, because per-pack overhead depends on volume.</t>
  </si>
  <si>
    <t xml:space="preserve">Bin Stickers — 100×140mm, 4-Pack (1 A4 sheet) — Cost Breakdown</t>
  </si>
  <si>
    <t xml:space="preserve">Blue = editable input. Black = calculated. Green = linked from another sheet. Yellow highlight = key assumption to review. GBP. Layout (v10): 1 Product → 2 Packing → 3 Shipping → Total cost per pack at the bottom.</t>
  </si>
  <si>
    <t xml:space="preserve">PRODUCT SPEC</t>
  </si>
  <si>
    <t xml:space="preserve">Value</t>
  </si>
  <si>
    <t xml:space="preserve">Sticker size (mm)</t>
  </si>
  <si>
    <t xml:space="preserve">100 x 140</t>
  </si>
  <si>
    <t xml:space="preserve">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 Note (Aug 2026): the landscape 140x100mm line (D01-D03) has identical area to this 100x140mm portrait sheet, so it fits 4-up on one A4 page the same way and this sheet's materials cost figures (rows 12-18) apply unchanged -- no separate cost row added for it. See Bin-Sticker-Shipping-Plan.md for the packaging question, which does differ by shape.</t>
  </si>
  <si>
    <t xml:space="preserve">Stickers per pack</t>
  </si>
  <si>
    <t xml:space="preserve">Standard pack size in this category</t>
  </si>
  <si>
    <t xml:space="preserve">A4 pages needed per pack</t>
  </si>
  <si>
    <t xml:space="preserve">Updated: at 100x140mm, all 4 stickers fit on a single A4 sheet (2x2 grid, ~8-8.5mm margin around each). No longer needs 2 sheets — this halves the materials cost per pack vs the original 150mm-tall version.</t>
  </si>
  <si>
    <t xml:space="preserve">1. PRODUCT — what it costs to make one pack of 4 stickers</t>
  </si>
  <si>
    <t xml:space="preserve">1a. Sticker sheet materials (per A4 page)</t>
  </si>
  <si>
    <t xml:space="preserve">Cost (£)</t>
  </si>
  <si>
    <t xml:space="preserve">Vinyl (printable, per A4 sheet)</t>
  </si>
  <si>
    <t xml:space="preserve">Per A4 sheet, from the Cricut 20-ct set (£6.50 vinyl per 20 sheets, ex-shipping) — see 'cost per item' sheet. Stickiply's per-sheet cost is higher at small pack sizes. Value confirmed by user Sep 2026.</t>
  </si>
  <si>
    <t xml:space="preserve">Laminate (cold, per A4 sheet)</t>
  </si>
  <si>
    <t xml:space="preserve">Per A4 sheet, from the Cricut 20-ct set (£6.50 laminate per 20 sheets, ex-shipping) — see 'cost per item' sheet. Value confirmed by user Sep 2026.</t>
  </si>
  <si>
    <t xml:space="preserve">Ink (colour, per A4 page)</t>
  </si>
  <si>
    <t xml:space="preserve">£0.10 per page — deliberate conservative placeholder (user, Sep 2026); not yet calibrated. EcoTank's real cost is likely lower (under 1p/page at 5% coverage in ISO tests) — refine once you can measure bottle depletion on real designs.</t>
  </si>
  <si>
    <t xml:space="preserve">Subtotal: cost per A4 page (vinyl + laminate + ink)</t>
  </si>
  <si>
    <t xml:space="preserve">Pages per pack (from Product Spec above)</t>
  </si>
  <si>
    <t xml:space="preserve">→ Sticker sheet materials per pack</t>
  </si>
  <si>
    <t xml:space="preserve">1b. Cricut cutting — main kiss-cut + back cut (mat and blade costs on the 'Cricut Costs' sheet)</t>
  </si>
  <si>
    <t xml:space="preserve">Main kiss-cut on the Cricut? (Y/N)</t>
  </si>
  <si>
    <t xml:space="preserve">N</t>
  </si>
  <si>
    <t xml:space="preserve">v9: N per your v8 edit ('no need thanks to back cut – Liron'). Set Y if the front kiss-cut pass comes back.</t>
  </si>
  <si>
    <t xml:space="preserve">Sticker sheets cut per pack</t>
  </si>
  <si>
    <t xml:space="preserve">Linked to A4 pages per pack (Product Spec).</t>
  </si>
  <si>
    <t xml:space="preserve">Mat used</t>
  </si>
  <si>
    <t xml:space="preserve">From the 'Main kiss-cut' job on the Cricut Costs sheet — change the mat there.</t>
  </si>
  <si>
    <t xml:space="preserve">→ Mat cost per use (£)</t>
  </si>
  <si>
    <t xml:space="preserve">Blade used</t>
  </si>
  <si>
    <t xml:space="preserve">→ Blade cost per cut (£)</t>
  </si>
  <si>
    <t xml:space="preserve">→ Cricut cost per sheet cut (£)</t>
  </si>
  <si>
    <t xml:space="preserve">→ Main kiss-cut cost per pack</t>
  </si>
  <si>
    <t xml:space="preserve">Driven by the Y/N toggle in B22.</t>
  </si>
  <si>
    <t xml:space="preserve">Back cut made on the Cricut? (Y/N)</t>
  </si>
  <si>
    <t xml:space="preserve">Y</t>
  </si>
  <si>
    <t xml:space="preserve">Y = a second Cricut pass with the sticker sheet face down, cutting a slit through the backing only, 15mm from the top edge of each sticker. Assumed to cost one extra mat use + one blade cut per sticker sheet — confirm once timed and tested.</t>
  </si>
  <si>
    <t xml:space="preserve">→ Back cut cost per pack (one pass per sticker sheet)</t>
  </si>
  <si>
    <t xml:space="preserve">'Back cut' job on the Cricut Costs sheet (12x24 StandardGrip) × sheets per pack. Toggle in B30.</t>
  </si>
  <si>
    <t xml:space="preserve">→ Cricut cutting cost per pack (main cut + back cut)</t>
  </si>
  <si>
    <t xml:space="preserve">1c. Peel markers ('PEEL THIS FIRST' pill + arrow, one set per sticker)</t>
  </si>
  <si>
    <t xml:space="preserve">Marker sheet price (£) — same SmithPackaging label sheets as the logo sticker</t>
  </si>
  <si>
    <t xml:space="preserve">Linked to B83 (logo sticker sheet, £8.99 ÷ 100 sheets).</t>
  </si>
  <si>
    <t xml:space="preserve">Ink per marker sheet (£)</t>
  </si>
  <si>
    <t xml:space="preserve">Linked to the £0.10 per page ink placeholder. Solid magenta pills and arrows cover roughly a fifth of the sheet.</t>
  </si>
  <si>
    <t xml:space="preserve">Cricut cost per marker sheet (Print Then Cut: one mat use + one blade cut)</t>
  </si>
  <si>
    <t xml:space="preserve">v9: from the 'Peel marker sheet Print Then Cut' job on the Cricut Costs sheet (12x12 StandardGrip).</t>
  </si>
  <si>
    <t xml:space="preserve">→ Total cost per marker sheet</t>
  </si>
  <si>
    <t xml:space="preserve">Marker sets per A4 sheet (1 pill + 1 arrow per set)</t>
  </si>
  <si>
    <t xml:space="preserve">Entered by user, Oct 2026: 35 sets per sheet, tested.</t>
  </si>
  <si>
    <t xml:space="preserve">→ Cost per marker set</t>
  </si>
  <si>
    <t xml:space="preserve">Marker sets per pack (one per sticker)</t>
  </si>
  <si>
    <t xml:space="preserve">Linked to Stickers per pack.</t>
  </si>
  <si>
    <t xml:space="preserve">→ Marker cost per pack</t>
  </si>
  <si>
    <t xml:space="preserve">SUBTOTAL 1 — PRODUCT COST PER PACK</t>
  </si>
  <si>
    <t xml:space="preserve">Sticker sheet materials + Cricut cutting + peel markers.</t>
  </si>
  <si>
    <t xml:space="preserve">2. PACKING — envelope, inserts and wrap</t>
  </si>
  <si>
    <t xml:space="preserve">2a. Envelope + seal tape (options from Test 6 — see Bin-Sticker-Material-Test-Plan.md)</t>
  </si>
  <si>
    <t xml:space="preserve">Option</t>
  </si>
  <si>
    <t xml:space="preserve">Cost/pack (£)</t>
  </si>
  <si>
    <t xml:space="preserve">Kraft envelope + tissue (flat wrap)</t>
  </si>
  <si>
    <t xml:space="preserve">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</si>
  <si>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 xml:space="preserve">Kraft envelope + rigid backing card (no padding)</t>
  </si>
  <si>
    <t xml:space="preserve">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</si>
  <si>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 xml:space="preserve">Padded mailer (Mail Lite A/000, 110×160mm)</t>
  </si>
  <si>
    <t xml:space="preserve">Cushions knocks in transit, stays flat and cheap to post. ~£11.66/100 (~5g each), confirmed by supplier as Royal Mail Large Letter sized. Packed thickness ~5-10mm — the padding itself rules out the Letter rate; no genuinely thin padded/bubble mailer exists that fits under 5mm.</t>
  </si>
  <si>
    <t xml:space="preserve">C6 box (163×112×20mm, rigid)</t>
  </si>
  <si>
    <t xml:space="preserve">Best transit protection and strongest 'unboxing' presentation — matches the gift-feel packaging described in Business Plan Section 7. £6.54-6.89/50 (Forms Plus). 20mm depth stays under the 25mm Royal Mail Large Letter thickness limit, but is well over the 5mm Letter limit.</t>
  </si>
  <si>
    <t xml:space="preserve">A6/C6 board-backed 'Do Not Bend' envelope (flat)</t>
  </si>
  <si>
    <t xml:space="preserve">Confirmed choice (Sep 2026), ~£0.25 per pack (sourced). Not one of the original four Test 6 candidates — Test 6 still needs to validate it in the post. Note the R&amp;D test purchase (Double Dragon 50-pack) works out at £0.147 each: reconcile which supplier you will actually use.</t>
  </si>
  <si>
    <t xml:space="preserve">Selected packaging option (confirmed Sep 2026; Test 6 still to validate)</t>
  </si>
  <si>
    <t xml:space="preserve">Oct 2026: switched from 'Kraft envelope + rigid backing card' to the A6/C6 board-backed envelope, the confirmed choice (Merge notes said it was selected, but v4 still pointed at the backing card at £0.15). Still must match one of A50:A54 exactly. Tape and the AKAR multi-pack box are costed on the 'Packing Oct 2026' tab.</t>
  </si>
  <si>
    <t xml:space="preserve">→ Packaging cost per pack (pulled from selection above)</t>
  </si>
  <si>
    <t xml:space="preserve">Seal tape per envelope (£)</t>
  </si>
  <si>
    <t xml:space="preserve">Linked from the Packing Oct 2026 tab (Sellotape Zero Plastic, 30cm per envelope as measured). Box orders use that tab's per-pack box figure instead.</t>
  </si>
  <si>
    <t xml:space="preserve">→ Envelope + seal tape per pack</t>
  </si>
  <si>
    <t xml:space="preserve">2b. Personal wrap (small 140x100mm only; see sticker_wrap_README.md)</t>
  </si>
  <si>
    <t xml:space="preserve">Paper pack price (£) — plain 120gsm A4</t>
  </si>
  <si>
    <t xml:space="preserve">Entered by user, Oct 2026: £8 for 250 sheets. White or kraft.</t>
  </si>
  <si>
    <t xml:space="preserve">Sheets per pack</t>
  </si>
  <si>
    <t xml:space="preserve">→ Price per A4 sheet</t>
  </si>
  <si>
    <t xml:space="preserve">Wraps per A4 sheet</t>
  </si>
  <si>
    <t xml:space="preserve">The wrap net is 180 x 232mm, so one per sheet (sticker_wrap.py).</t>
  </si>
  <si>
    <t xml:space="preserve">→ Paper cost per wrap</t>
  </si>
  <si>
    <t xml:space="preserve">Ink per wrap (£)</t>
  </si>
  <si>
    <t xml:space="preserve">Linked to the £0.10 per page ink placeholder (B15). Coverage is light (text, half-size design preview, logo), so the real figure is likely lower.</t>
  </si>
  <si>
    <t xml:space="preserve">Cut on the Cricut? (Y/N)</t>
  </si>
  <si>
    <t xml:space="preserve">Y = Print Then Cut (adds one mat use + one blade cut per wrap). N = scissors by hand (no machine cost). Defaulted to Y as the conservative figure.</t>
  </si>
  <si>
    <t xml:space="preserve">→ Cricut cost per wrap (mat use + blade cut)</t>
  </si>
  <si>
    <t xml:space="preserve">v9: from the 'Wrap Print Then Cut' job on the Cricut Costs sheet (12x12 StandardGrip). Add a LightGrip mat there and switch the job's dropdown if you move paper to LightGrip.</t>
  </si>
  <si>
    <t xml:space="preserve">→ Wrap cost per pack</t>
  </si>
  <si>
    <t xml:space="preserve">Wrap weight (g, 120gsm)</t>
  </si>
  <si>
    <t xml:space="preserve">Calculated from the net area (34,463 mm²) at 120gsm; ~3.4g at 100gsm. Add to packed weights in the Shipping Plan.</t>
  </si>
  <si>
    <t xml:space="preserve">2c. Thank-you card (1 per order; see Business Plan Section 7)</t>
  </si>
  <si>
    <t xml:space="preserve">Cardstock (per card — 1/4 of an A4 250gsm sheet, white or kraft)</t>
  </si>
  <si>
    <t xml:space="preserve">A4 250gsm cardstock ~£0.08/sheet ÷ 4 cards (A6 size, exactly 1/4 of A4, cut with the guillotine) = £0.02/card. Kraft cardstock runs higher (~£0.15-0.30/sheet ÷ 4 ≈ £0.04-0.08/card) — this figure uses the white/cream cardstock estimate; edit this cell if you settle on kraft instead.</t>
  </si>
  <si>
    <t xml:space="preserve">Ink (light coverage — flower motif + text, much lighter than a full sticker print)</t>
  </si>
  <si>
    <t xml:space="preserve">Same £0.10 per page placeholder as the sticker ink above (user, Sep 2026). Light coverage means the true cost is lower.</t>
  </si>
  <si>
    <t xml:space="preserve">Subtotal: thank-you card cost per pack</t>
  </si>
  <si>
    <t xml:space="preserve">2d. Logo sticker (edit £/counts below as needed)</t>
  </si>
  <si>
    <t xml:space="preserve">SmithPackaging A4 self-adhesive label sheets (1 label per sheet, 100) — pack price (£)</t>
  </si>
  <si>
    <t xml:space="preserve">Entered by user, Oct 2026: £8.99 for 100 sheets. Regular (non-waterproof) paper labels, used for the 40mm seal sticker, which sits under clear tape on the envelope. Same product as the R&amp;D address-label row on the Tier 1 sheet.</t>
  </si>
  <si>
    <t xml:space="preserve">→ Price per sheet</t>
  </si>
  <si>
    <t xml:space="preserve">Ink cost per sheet (£)</t>
  </si>
  <si>
    <t xml:space="preserve">→ Total cost per sheet (material + ink)</t>
  </si>
  <si>
    <t xml:space="preserve">Logo stickers per sheet</t>
  </si>
  <si>
    <t xml:space="preserve">→ Cost per logo sticker (total sheet cost ÷ stickers per sheet)</t>
  </si>
  <si>
    <t xml:space="preserve">Logo stickers included per pack</t>
  </si>
  <si>
    <t xml:space="preserve">Assumption — one logo sticker included per pack; edit if more are included.</t>
  </si>
  <si>
    <t xml:space="preserve">Subtotal: Logo sticker cost per pack</t>
  </si>
  <si>
    <t xml:space="preserve">SUBTOTAL 2 — PACKING COST PER PACK</t>
  </si>
  <si>
    <t xml:space="preserve">Envelope + seal tape + personal wrap + thank-you card + logo sticker. Multi-pack orders in the AKAR box are costed on the 'Packing Oct 2026' tab.</t>
  </si>
  <si>
    <t xml:space="preserve">3. SHIPPING — Royal Mail postage + address label</t>
  </si>
  <si>
    <t xml:space="preserve">3a. Royal Mail postage (Letter/Large Letter checked July 2026; Tracked updated 6 Oct 2026)</t>
  </si>
  <si>
    <t xml:space="preserve">Service</t>
  </si>
  <si>
    <t xml:space="preserve">Price (£)</t>
  </si>
  <si>
    <t xml:space="preserve">2nd Class Standard (untracked) — Letter, up to 100g</t>
  </si>
  <si>
    <t xml:space="preserve">Royal Mail Letter rate unchanged at £0.91 after the 5 Oct 2026 price change. For eBay orders, confirm eBay's label tool offers Letter at £0.91 at the first order; if it only offers Large Letter, buy that label in Click &amp; Drop instead. Only available if the packed item is under 240x165x5mm and 100g.</t>
  </si>
  <si>
    <t xml:space="preserve">2nd Class Standard (untracked) — Large Letter, up to 100g</t>
  </si>
  <si>
    <t xml:space="preserve">Default/standard tier per Business Plan Section 8 — typically absorbed into item price, not charged separately at checkout. The only option available for the padded mailer and box candidates, since their thickness rules out the Letter rate.</t>
  </si>
  <si>
    <t xml:space="preserve">2nd Class (untracked) — Large Letter, up to 250g</t>
  </si>
  <si>
    <t xml:space="preserve">Applies if the packed 4-pack + packaging crosses the 100g threshold — confirm on a kitchen scale.</t>
  </si>
  <si>
    <t xml:space="preserve">Tracked 48 — Large Letter</t>
  </si>
  <si>
    <t xml:space="preserve">Royal Mail online price for Tracked 48 Large Letter from 5 Oct 2026 (was £2.75). Not offered at launch (free 2nd Class only). If added as a buyer-paid upgrade, break-even charge is about £2.37-2.51 after eBay fees on postage; suggested £2.69. The Business Plan's earlier +£1.50-2.00 example would lose money.</t>
  </si>
  <si>
    <t xml:space="preserve">Tracked 24 — Large Letter</t>
  </si>
  <si>
    <t xml:space="preserve">Royal Mail online price for Tracked 24 Large Letter from 5 Oct 2026 (was £3.65). 'Aims for' next working day, not a guarantee. Not offered at launch. Break-even charge about £3.55-3.77; suggested £3.99. The earlier +£3.00 example would lose money.</t>
  </si>
  <si>
    <t xml:space="preserve">Special Delivery Guaranteed by 1pm</t>
  </si>
  <si>
    <t xml:space="preserve">For bundled/high-value orders (£20+) only, per Business Plan Section 8. Royal Mail raised Special Delivery by £0.70-3.20 on 5 Oct 2026; £8.75 not re-checked.</t>
  </si>
  <si>
    <t xml:space="preserve">Selected shipping tier (for landed cost below)</t>
  </si>
  <si>
    <t xml:space="preserve">Oct 2026: Letter (£0.91) selected for a single pack in the A6/C6 board-backed envelope - packed thickness reported under 4mm, to be confirmed at the Post Office gauge. If it gauges 5mm or more, switch to the Large Letter row. Multi-pack orders in the AKAR box use Large Letter - see 'Packing Oct 2026'. Must exactly match one of A96:A101.</t>
  </si>
  <si>
    <t xml:space="preserve">→ Shipping cost per pack (pulled from selection above)</t>
  </si>
  <si>
    <t xml:space="preserve">3b. Address label (Click &amp; Drop)</t>
  </si>
  <si>
    <t xml:space="preserve">A4 self-adhesive address label pack — price (£)</t>
  </si>
  <si>
    <t xml:space="preserve">Oct 2026: set to £0 - labels are printed free at the Post Office via Click &amp; Drop (QR code), so no label stock is consumed. Previous value £32.21 (SmithPackaging 100-sheet pack; note the Shipping Plan quotes £9). Restore if printing at home. Flows through to the 202x140 and 280x200 sheets.</t>
  </si>
  <si>
    <t xml:space="preserve">Labels printed per sheet (batch assumption)</t>
  </si>
  <si>
    <t xml:space="preserve">This product is one full-A4 label per sheet (199.6 x 289.1mm), so 1 label per sheet is assumed (conservative). If you print 3 shipping labels on one sheet and cut them apart, set this to 3 (cost falls to £0.03). Plain paper + tape (~1-2p) is also officially supported by Royal Mail.</t>
  </si>
  <si>
    <t xml:space="preserve">→ Cost per address label (sheet price ÷ labels used)</t>
  </si>
  <si>
    <t xml:space="preserve">SUBTOTAL 3 — SHIPPING COST PER PACK</t>
  </si>
  <si>
    <t xml:space="preserve">Postage + address label.</t>
  </si>
  <si>
    <t xml:space="preserve">TOTAL COST PER PACK</t>
  </si>
  <si>
    <t xml:space="preserve">Cost per pack (£)</t>
  </si>
  <si>
    <t xml:space="preserve">1. Product</t>
  </si>
  <si>
    <t xml:space="preserve">2. Packing</t>
  </si>
  <si>
    <t xml:space="preserve">3. Shipping</t>
  </si>
  <si>
    <t xml:space="preserve">TOTAL LANDED COST PER PACK (product + packing + shipping)</t>
  </si>
  <si>
    <t xml:space="preserve">Direct cost per pack, excl. recurring overhead. Feeds the Break-Even Calculator on the Tier 1 sheet.</t>
  </si>
  <si>
    <t xml:space="preserve">Cost per individual sticker (all-in incl. packing + shipping)</t>
  </si>
  <si>
    <t xml:space="preserve">Overhead cost per sticker (£)</t>
  </si>
  <si>
    <t xml:space="preserve">Live link to the Recurring Overhead sheet's ACTIVE SCENARIO figure (subscriptions ÷ chosen scenario's monthly volume). Defaults to the Conservative scenario — change the dropdown on that sheet to switch which scenario feeds this and the Break-Even Calculator.</t>
  </si>
  <si>
    <t xml:space="preserve">Overhead cost per pack (4 stickers) (£)</t>
  </si>
  <si>
    <t xml:space="preserve">TOTAL LANDED COST PER PACK, INCL. OVERHEAD (£)</t>
  </si>
  <si>
    <t xml:space="preserve">Cost per individual sticker, incl. overhead (£)</t>
  </si>
  <si>
    <t xml:space="preserve">Shipping (postage) is typically absorbed into the item's list price rather than charged separately at checkout (standard/free shipping is the competitor norm — see Business Plan Section 8), so the TOTAL LANDED COST row is your true all-in cost basis for pricing, not a line the customer sees itemised. To re-model, change 'Selected packaging option' (B55) or 'Selected shipping tier' (B102).</t>
  </si>
  <si>
    <t xml:space="preserve">Direct cost per pack is B120 (excludes recurring overhead). The Break-Even Calculator on the Tier 1 sheet uses it and shows overhead separately; B125 is the all-in floor price if the active overhead scenario were spread across every sticker.</t>
  </si>
  <si>
    <t xml:space="preserve">Packing update - AKAR multi-pack box and clear tape (Oct 2026, GBP)</t>
  </si>
  <si>
    <t xml:space="preserve">Blue = editable input. Yellow = still needed from you (left blank, so costs show £0 until filled). Black = calculated.</t>
  </si>
  <si>
    <t xml:space="preserve">AKAR WHITE A6/C6 LARGE LETTER BOX</t>
  </si>
  <si>
    <t xml:space="preserve">Box pack price (£)</t>
  </si>
  <si>
    <t xml:space="preserve">NEEDED: price you paid for the AKAR box pack.</t>
  </si>
  <si>
    <t xml:space="preserve">Boxes in pack</t>
  </si>
  <si>
    <t xml:space="preserve">NEEDED: boxes per pack.</t>
  </si>
  <si>
    <t xml:space="preserve">→ Cost per box (£)</t>
  </si>
  <si>
    <t xml:space="preserve">Packs per box (cap)</t>
  </si>
  <si>
    <t xml:space="preserve">Tested Oct 2026: 4 packs = 82g (about 84g taped), box 23mm. 5 would be ~97g, too close to 100g.</t>
  </si>
  <si>
    <t xml:space="preserve">Weight - box + 4 packs + tape (g)</t>
  </si>
  <si>
    <t xml:space="preserve">82g measured without tape + ~2g tape (measured on the 2-pack box).</t>
  </si>
  <si>
    <t xml:space="preserve">→ Box cost per pack, excl. tape (£)</t>
  </si>
  <si>
    <t xml:space="preserve">CLEAR PLANT-BASED TAPE — Sellotape Zero Plastic, 24mm x 30m (selected Oct 2026)</t>
  </si>
  <si>
    <t xml:space="preserve">Roll price (£)</t>
  </si>
  <si>
    <t xml:space="preserve">GreenStat UK listing, £5.94 inc VAT, checked Oct 2026. Cellulose film, plastic-free; the tape itself is compostable, not recyclable.</t>
  </si>
  <si>
    <t xml:space="preserve">Roll length (m)</t>
  </si>
  <si>
    <t xml:space="preserve">30m per roll (same listing).</t>
  </si>
  <si>
    <t xml:space="preserve">Tape used per envelope (cm)</t>
  </si>
  <si>
    <t xml:space="preserve">Measured by you with regular tape, Oct 2026. If you only tape over the 40mm seal sticker (~7cm strip), set this to 7.</t>
  </si>
  <si>
    <t xml:space="preserve">Tape used per box (cm)</t>
  </si>
  <si>
    <t xml:space="preserve">Measured by you, Oct 2026.</t>
  </si>
  <si>
    <t xml:space="preserve">→ Cost per cm (£)</t>
  </si>
  <si>
    <t xml:space="preserve">→ Tape cost per envelope parcel (£)</t>
  </si>
  <si>
    <t xml:space="preserve">→ Tape cost per box parcel (£)</t>
  </si>
  <si>
    <t xml:space="preserve">→ Tape cost per pack when shipped in the box (£)</t>
  </si>
  <si>
    <t xml:space="preserve">PER-PACK PACKAGING + POSTAGE COMPARISON</t>
  </si>
  <si>
    <t xml:space="preserve">1 pack (envelope, Letter)</t>
  </si>
  <si>
    <t xml:space="preserve">4 packs (AKAR box, Large Letter)</t>
  </si>
  <si>
    <t xml:space="preserve">Packaging per pack (£)</t>
  </si>
  <si>
    <t xml:space="preserve">Tape per pack (£)</t>
  </si>
  <si>
    <t xml:space="preserve">Postage per parcel (£)</t>
  </si>
  <si>
    <t xml:space="preserve">Postage per pack (£)</t>
  </si>
  <si>
    <t xml:space="preserve">Packaging + tape + postage per pack (£)</t>
  </si>
  <si>
    <t xml:space="preserve">Saving per pack in the box vs envelope (£)</t>
  </si>
  <si>
    <t xml:space="preserve">Notes: Letter £0.91 and Large Letter £1.55 are the cost-sheet figures - confirm in Click &amp; Drop. Box postage assumes ≤100g (84g with 4 packs). The 4-pack box is for orders of multiple packs; a single pack should still ship in the envelope. Tape and the AKAR box are NOT yet added into the totals on the 100x140 sheet - decide once prices are in.</t>
  </si>
  <si>
    <t xml:space="preserve">Bin Stickers — 202×140mm, 2-Pack (1 A4 sheet) — Cost Breakdown</t>
  </si>
  <si>
    <t xml:space="preserve">Blue = editable input. Black = calculated. Green = linked from another sheet (mostly the 100x140 baseline). Yellow highlight = key assumption to review. GBP. Layout (v11): 1 Product → 2 Packing → 3 Shipping → Total cost per pack at the bottom.</t>
  </si>
  <si>
    <t xml:space="preserve">202 x 140</t>
  </si>
  <si>
    <t xml:space="preserve">New MEDIUM tier: 202×140mm, two stacked per A4 sheet. Trimmed from 210mm (Sep 2026) so it prints in NORMAL (bordered) mode — the Epson EcoTank ET-3950's normal printable width is 204mm, leaving about 1mm spare each side — which avoids the borderless dead zone (~2-4mm, asymmetric) measured in the earlier print test. Two 140mm cards stack to 280mm, which is the maximum height inside the measured 8.5mm top/bottom margins. Close to the 21×14cm size sold by a real competitor (House Number &amp; Address Decals shop, 4.7★/3.1k reviews — see Competitor Research). Print margins should be confirmed with a print test at this exact size.</t>
  </si>
  <si>
    <t xml:space="preserve">Two 202×140mm cards stack to 280mm, the maximum height inside the measured 8.5mm top/bottom margins. Sold as a pair, matching the competitor benchmark this size is based on.</t>
  </si>
  <si>
    <t xml:space="preserve">Still 1 A4 page per pack, same as baseline — the sheet math changes (2 stickers instead of 4), not the page count.</t>
  </si>
  <si>
    <t xml:space="preserve">1. PRODUCT — what it costs to make one pack (2 stickers)</t>
  </si>
  <si>
    <t xml:space="preserve">Linked to the baseline sheet (same material for all size tiers).</t>
  </si>
  <si>
    <t xml:space="preserve">Linked to the baseline sheet (same £0.10 placeholder) — NOT yet re-tested for this size.</t>
  </si>
  <si>
    <t xml:space="preserve">v9: Y = unchanged from v8 (this tab still costed the main cut). Set N if the back cut replaces the front pass for this size too, as on the 100x140 tab.</t>
  </si>
  <si>
    <t xml:space="preserve">Linked from the baseline 100x140 sheet.</t>
  </si>
  <si>
    <t xml:space="preserve">'Back cut' job on the Cricut Costs sheet (12x24 mat) × sheets per pack. Toggle in B30 is linked from the baseline 100x140 tab.</t>
  </si>
  <si>
    <t xml:space="preserve">Cost per marker set</t>
  </si>
  <si>
    <t xml:space="preserve">2. PACKING — envelope and inserts</t>
  </si>
  <si>
    <t xml:space="preserve">2a. Envelope (re-sized for 202x140mm — the baseline's envelopes are too small; options pending Test 6)</t>
  </si>
  <si>
    <t xml:space="preserve">C4 kraft envelope + tissue (flat wrap)</t>
  </si>
  <si>
    <t xml:space="preserve">C4 (229x324mm) is used as a placeholder. At 202×140mm the card also fits a C5 (229×162mm), the smaller standard size, which would likely be cheaper — swap in a sourced C5 price. Plain white C4 self-seal runs ~£0.25-0.30/envelope in small packs (25s) on Amazon UK, cheaper in bulk — £0.22 used as a bulk-pack estimate; confirm at your actual order size. + tissue offcut, near-zero marginal cost.</t>
  </si>
  <si>
    <t xml:space="preserve">C4 kraft envelope + rigid backing card (no padding)</t>
  </si>
  <si>
    <t xml:space="preserve">Same C4 envelope as above, tissue swapped for an in-house-cut rigid cardstock backing sized to the card -- resists bending in transit for a ~£0.02 premium, same logic as the baseline's backing-card option.</t>
  </si>
  <si>
    <t xml:space="preserve">C4 padded mailer</t>
  </si>
  <si>
    <t xml:space="preserve">UK C4-size padded mailers run roughly £0.30-0.40 each in bulk packs -- placeholder, confirm against a specific UK listing before committing (not yet checked as precisely as the C4 plain envelope above).</t>
  </si>
  <si>
    <t xml:space="preserve">A4/C4 box (rigid, for premium presentation)</t>
  </si>
  <si>
    <t xml:space="preserve">Placeholder only -- rigid boxes sized for a 202x140mm card weren't priced in this pass. Treat as a rough order-of-magnitude figure (baseline's C6 box was £0.14 at a much smaller size) until a real UK listing is checked.</t>
  </si>
  <si>
    <t xml:space="preserve">Selected packaging option (pending Test 6 results)</t>
  </si>
  <si>
    <t xml:space="preserve">Placeholder default = cheapest option, matching baseline's convention. Update once you test real packaging for this size.</t>
  </si>
  <si>
    <t xml:space="preserve">2b. Thank-you card (1 per order; see Business Plan Section 7)</t>
  </si>
  <si>
    <t xml:space="preserve">Printed via the same Epson EcoTank printer/ink used for stickers — light line-art + text coverage, well under the ~£0.05/page ink assumption used for the dense sticker designs above (row 14).</t>
  </si>
  <si>
    <t xml:space="preserve">2c. Logo sticker (linked from the baseline 100x140 sheet)</t>
  </si>
  <si>
    <t xml:space="preserve">Waterproof sticker sheet — pack price (£)</t>
  </si>
  <si>
    <t xml:space="preserve">Linked to the baseline sheet (same £0.10 placeholder).</t>
  </si>
  <si>
    <t xml:space="preserve">Linked to the baseline sheet — one logo sticker included per pack, regardless of size tier.</t>
  </si>
  <si>
    <t xml:space="preserve">Envelope + thank-you card + logo sticker. No personal wrap or seal tape on this size (those are costed on the 100x140 tab only).</t>
  </si>
  <si>
    <t xml:space="preserve">3a. Royal Mail postage (estimated prices, checked July 2026 — linked from the baseline)</t>
  </si>
  <si>
    <t xml:space="preserve">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</si>
  <si>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 xml:space="preserve">Optional paid upgrade (+£1.50-2.00 over standard per Business Plan Section 8).</t>
  </si>
  <si>
    <t xml:space="preserve">Optional paid upgrade (+£3.00). 'Aims for' next working day — not a guarantee.</t>
  </si>
  <si>
    <t xml:space="preserve">For bundled/high-value orders (£20+) only, per Business Plan Section 8 — not the standard single-pack tier.</t>
  </si>
  <si>
    <t xml:space="preserve">Unlike the baseline 140x100mm product, this size can NEVER use the cheaper Letter-rate tier -- Royal Mail's Letter format caps out at 165mm width, and this card is 202mm wide on its own before any envelope. Large Letter is the floor for this size, regardless of packaging choice. Defaulted to the 250g band rather than 100g since an envelope + vinyl + laminate + backing card is more likely to cross 100g than the baseline's smaller envelope -- confirm on a kitchen scale once packaged.</t>
  </si>
  <si>
    <t xml:space="preserve">A4 sticker label sheet pack — price (£)</t>
  </si>
  <si>
    <t xml:space="preserve">Linked to the baseline sheet (SmithPackaging label pack).</t>
  </si>
  <si>
    <t xml:space="preserve">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</si>
  <si>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xml:space="preserve">Direct cost per pack, excl. recurring overhead.</t>
  </si>
  <si>
    <t xml:space="preserve">Overhead cost per pack (2 stickers) (£)</t>
  </si>
  <si>
    <t xml:space="preserve">Shipping (postage) is typically absorbed into the item's list price rather than charged separately at checkout (standard/free shipping is the competitor norm — see Business Plan Section 8), so the TOTAL LANDED COST row is your true all-in cost basis for pricing. To re-model, change 'Selected packaging option' (B49) or 'Selected shipping tier' (B81).</t>
  </si>
  <si>
    <t xml:space="preserve">Direct cost per pack is B99 (excludes recurring overhead). B104 is the all-in floor price if the active overhead scenario were spread across every sticker.</t>
  </si>
  <si>
    <t xml:space="preserve">Bin Stickers — 280×200mm, Single (1 A4 sheet) — Cost Breakdown</t>
  </si>
  <si>
    <t xml:space="preserve">280 x 200</t>
  </si>
  <si>
    <t xml:space="preserve">New LARGE tier: 280×200mm, i.e. 200mm wide × 280mm tall on the portrait A4 sheet (resized Sep 2026 from 280×200mm). 280mm is the maximum height inside the measured 8.5mm top/bottom margins (297 − 17), and 200mm sits inside the 204mm printable width, so it prints in NORMAL (bordered) mode with no borderless printing. NOT the market's established 30x20cm 'Large' benchmark used by multiple competitors — that size is 3mm longer than A4's own 297mm page length and is physically impossible on A4 regardless of print mode. A true 30x20cm size would need an A3-capable printer later (see Equipment Guide Tier 2/3), not forced onto this A4 workflow. Print margins should be confirmed with a print test at this exact size.</t>
  </si>
  <si>
    <t xml:space="preserve">Sold as a single sticker, not a pack — this size doesn't fit 2-up on any orientation of A4, so there's no natural pack size the way the baseline's 4-pack or Medium's 2-pack have.</t>
  </si>
  <si>
    <t xml:space="preserve">1 A4 page per unit — same page count as the other two tiers, just 1 sticker on it instead of 2 or 4.</t>
  </si>
  <si>
    <t xml:space="preserve">1. PRODUCT — what it costs to make one pack (1 sticker)</t>
  </si>
  <si>
    <t xml:space="preserve">2a. Envelope (re-sized for 280x200mm — the baseline's envelopes are too small; options pending Test 6)</t>
  </si>
  <si>
    <t xml:space="preserve">C4 (229x324mm) comfortably fits this card (280×200mm) without folding -- same envelope as the Medium placeholder, same ~£0.22/envelope bulk-pack estimate (Amazon UK, checked Sep 2026). + tissue offcut, near-zero marginal cost.</t>
  </si>
  <si>
    <t xml:space="preserve">Same C4 envelope, tissue swapped for a rigid backing card cut to size -- most worth considering for this tier specifically, since a 280mm-long sheet has the most room to flex/crease in transit of all three sizes.</t>
  </si>
  <si>
    <t xml:space="preserve">UK C4-size padded mailers run roughly £0.30-0.40 each in bulk packs -- placeholder, confirm against a specific UK listing before committing.</t>
  </si>
  <si>
    <t xml:space="preserve">Placeholder only -- rigid boxes sized for a near-full-A4 card weren't priced in this pass. Given this is your largest/most premium tier, a rigid box may be worth pricing properly before launch rather than relying on this placeholder.</t>
  </si>
  <si>
    <t xml:space="preserve">Defaulted to the backing-card option rather than plain tissue (unlike the other two tiers) — this is the longest sheet of the three (280mm), giving it the most room to flex/crease in a mailbag, so the extra ~£0.02 for rigidity seems worth it by default. Change if Test 6-equivalent results for this size say otherwise.</t>
  </si>
  <si>
    <t xml:space="preserve">Like the Medium tier, this size can NEVER use the cheaper Letter-rate tier -- both its dimensions (280x200mm) exceed the Letter format's 240x165mm limit. Large Letter is the floor for this size regardless of packaging. Defaulted to the 250g band since a C4 envelope + vinyl + laminate + backing card is more likely to cross 100g than the baseline's smaller envelope -- confirm on a kitchen scale once packaged.</t>
  </si>
  <si>
    <t xml:space="preserve">Overhead cost per pack (1 sticker) (£)</t>
  </si>
  <si>
    <t xml:space="preserve">Cricut Costs — mats, blades and cutting jobs (added v9, Oct 2026, GBP)</t>
  </si>
  <si>
    <t xml:space="preserve">Blue = editable input (yellow = key assumption). Black = calculated. One place for every mat and blade price. Each Cricut job picks its mat and blade from a dropdown, and the bin sticker tabs pull the job cost per sheet from the JOBS table. To add a new mat type (e.g. LightGrip, StrongGrip, another size), fill in a spare row in the MATS table, then pick it in the job's dropdown.</t>
  </si>
  <si>
    <t xml:space="preserve">MATS</t>
  </si>
  <si>
    <t xml:space="preserve">Mat (name used in the dropdowns)</t>
  </si>
  <si>
    <t xml:space="preserve">Size</t>
  </si>
  <si>
    <t xml:space="preserve">Grip</t>
  </si>
  <si>
    <t xml:space="preserve">Pack price (£)</t>
  </si>
  <si>
    <t xml:space="preserve">Mats per pack</t>
  </si>
  <si>
    <t xml:space="preserve">→ Price per mat (£)</t>
  </si>
  <si>
    <t xml:space="preserve">Uses per mat (est.)</t>
  </si>
  <si>
    <t xml:space="preserve">→ Cost per use (£)</t>
  </si>
  <si>
    <t xml:space="preserve">Notes / source</t>
  </si>
  <si>
    <t xml:space="preserve">StandardGrip 12x12</t>
  </si>
  <si>
    <t xml:space="preserve">12 x 12 in (30.5 x 30.5 cm)</t>
  </si>
  <si>
    <t xml:space="preserve">StandardGrip (green)</t>
  </si>
  <si>
    <t xml:space="preserve">User, Oct 2026: £19 for a 6-pack = £3.17 per mat. Uses per mat: third-party consensus ~40–50, no official Cricut figure.</t>
  </si>
  <si>
    <t xml:space="preserve">StandardGrip 12x24</t>
  </si>
  <si>
    <t xml:space="preserve">12 x 24 in (30.5 x 61 cm)</t>
  </si>
  <si>
    <t xml:space="preserve">User, Oct 2026: £24 for a 2-pack = £12.00 per mat (Cricut UK lists a 4-pack at £32.99 = £8.25 per mat, checked 5 Oct 2026). Used for the back cut. Uses per mat copied from the 12x12 placeholder — revisit with real usage.</t>
  </si>
  <si>
    <t xml:space="preserve">Spare row — add a future mat type here.</t>
  </si>
  <si>
    <t xml:space="preserve">BLADES</t>
  </si>
  <si>
    <t xml:space="preserve">Blade (name used in the dropdowns)</t>
  </si>
  <si>
    <t xml:space="preserve">Type</t>
  </si>
  <si>
    <t xml:space="preserve">Blades per pack</t>
  </si>
  <si>
    <t xml:space="preserve">→ Price per blade (£)</t>
  </si>
  <si>
    <t xml:space="preserve">Cuts per blade (est.)</t>
  </si>
  <si>
    <t xml:space="preserve">→ Cost per cut (£)</t>
  </si>
  <si>
    <t xml:space="preserve">Fine-point (Premium)</t>
  </si>
  <si>
    <t xml:space="preserve">Fine-point</t>
  </si>
  <si>
    <t xml:space="preserve">User, Oct 2026: £4.50 per blade from a 2-blade pack (pack price entered as £9.00). Cuts per blade: rough placeholder, real-world estimates 100–300. One 'cut' = one mat pass through the machine.</t>
  </si>
  <si>
    <t xml:space="preserve">Spare row — e.g. a deep-point blade.</t>
  </si>
  <si>
    <t xml:space="preserve">CRICUT JOBS — cost per A4 sheet cut</t>
  </si>
  <si>
    <t xml:space="preserve">Cricut job</t>
  </si>
  <si>
    <t xml:space="preserve">Mat used (dropdown)</t>
  </si>
  <si>
    <t xml:space="preserve">Blade used (dropdown)</t>
  </si>
  <si>
    <t xml:space="preserve">Sheets per mat load</t>
  </si>
  <si>
    <t xml:space="preserve">→ Cost per sheet (£)</t>
  </si>
  <si>
    <t xml:space="preserve">Used on</t>
  </si>
  <si>
    <t xml:space="preserve">Main kiss-cut (sticker sheet, face up)</t>
  </si>
  <si>
    <t xml:space="preserve">All three bin sticker tabs: 100x140 B29 (toggle B22); 202x140 &amp; 280x200 B29 (toggle B22)</t>
  </si>
  <si>
    <t xml:space="preserve">Cuts the sticker outlines. v9: switched off (N) on the 100x140 tab per your v8 edit; still on (Y) for 202x140 and 280x200.</t>
  </si>
  <si>
    <t xml:space="preserve">Back cut (sticker sheet, face down)</t>
  </si>
  <si>
    <t xml:space="preserve">100x140 B31; 202x140 and 280x200 B31</t>
  </si>
  <si>
    <t xml:space="preserve">Slit through the backing only, 15mm from the top edge. Uses the 12x24 mat (user, Oct 2026). If you fit two A4 sheets on one 12x24 mat, set Sheets per mat load to 2 and the cost per sheet halves.</t>
  </si>
  <si>
    <t xml:space="preserve">Wrap Print Then Cut (120gsm paper)</t>
  </si>
  <si>
    <t xml:space="preserve">100x140 B69 (toggle B68)</t>
  </si>
  <si>
    <t xml:space="preserve">Paper is often cut on a LightGrip mat — add one to the MATS table and switch this dropdown if you change.</t>
  </si>
  <si>
    <t xml:space="preserve">Peel marker sheet Print Then Cut</t>
  </si>
  <si>
    <t xml:space="preserve">100x140 B38 (shared by all sizes via B41)</t>
  </si>
  <si>
    <t xml:space="preserve">SmithPackaging label sheet, 35 marker sets per sheet.</t>
  </si>
  <si>
    <t xml:space="preserve">Spare row — add a future job here, then link a product tab to its column G.</t>
  </si>
  <si>
    <t xml:space="preserve">Cost per sheet = (mat cost per use + blade cost per cut) ÷ sheets per mat load. Lifespans are placeholders (no official Cricut data) — the back cut cost is especially sensitive to the 12x24 uses-per-mat figure.</t>
  </si>
  <si>
    <t xml:space="preserve">Recurring Overhead — Subscriptions &amp; Monthly Costs</t>
  </si>
  <si>
    <t xml:space="preserve">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</si>
  <si>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 xml:space="preserve">MONTHLY SUBSCRIPTIONS</t>
  </si>
  <si>
    <t xml:space="preserve">Cost (£/month)</t>
  </si>
  <si>
    <t xml:space="preserve">full year</t>
  </si>
  <si>
    <t xml:space="preserve">Midjourney </t>
  </si>
  <si>
    <t xml:space="preserve">Design</t>
  </si>
  <si>
    <t xml:space="preserve">Placeholder — not yet chosen (per chat, July 2026). Separate from Midjourney, already costed per-design-set in the Business Plan; add it here too if it becomes an ongoing monthly subscription.</t>
  </si>
  <si>
    <t xml:space="preserve">lovart</t>
  </si>
  <si>
    <t xml:space="preserve">Placeholder — for any paid/commercial-use fonts beyond free/open-license options.</t>
  </si>
  <si>
    <t xml:space="preserve">Bookkeeping / accounting software</t>
  </si>
  <si>
    <t xml:space="preserve">Admin</t>
  </si>
  <si>
    <t xml:space="preserve">Placeholder — decided to use paid software (per chat), specific tool not yet chosen.</t>
  </si>
  <si>
    <t xml:space="preserve">gmail account</t>
  </si>
  <si>
    <t xml:space="preserve">Entered by user (Sep 2026).</t>
  </si>
  <si>
    <t xml:space="preserve">Virtual office</t>
  </si>
  <si>
    <t xml:space="preserve">Annual cost entered in column E (blue) and divided by 12 for the monthly figure. Entered by user; monthly figure added to the subtotal Sep 2026.</t>
  </si>
  <si>
    <t xml:space="preserve">Photoroom Pro (only if adopted)</t>
  </si>
  <si>
    <t xml:space="preserve">Not yet adopted (Oct 2026). Free plan is unusable for eBay: every export is watermarked (breaches eBay Picture Policy) and commercial use is banned. Pro quoted at roughly £8/month (annual) to £11/month (monthly) by third-party sources — confirm on the UK checkout page before entering. Test eBay's free built-in background tool first. To add further subscriptions, insert rows above row 12 in Excel so the SUM range extends.</t>
  </si>
  <si>
    <t xml:space="preserve">MONTHLY OVERHEAD SUBTOTAL</t>
  </si>
  <si>
    <t xml:space="preserve">MONTHLY VOLUME SCENARIOS (pre-launch — no sales history yet)</t>
  </si>
  <si>
    <t xml:space="preserve">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</si>
  <si>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 xml:space="preserve">Scenario</t>
  </si>
  <si>
    <t xml:space="preserve">Monthly Volume (stickers)</t>
  </si>
  <si>
    <t xml:space="preserve">Basis</t>
  </si>
  <si>
    <t xml:space="preserve">Notes / Source</t>
  </si>
  <si>
    <t xml:space="preserve">Conservative</t>
  </si>
  <si>
    <t xml:space="preserve">New-shop comparable benchmark</t>
  </si>
  <si>
    <t xml:space="preserve">Seller community reports commonly cite roughly 3–10 sales in a new shop's first month; a study of 797 Etsy shops found ~16 sales/month typical for a 'middling' shop after a full year. 10/month is a placeholder mid-point — edit if you have a firmer view.</t>
  </si>
  <si>
    <t xml:space="preserve">Base / Target</t>
  </si>
  <si>
    <t xml:space="preserve">Anchored to your own break-even goal</t>
  </si>
  <si>
    <t xml:space="preserve">Placeholder target. Business Plan Section 9 is under revision — break-even is being rebuilt from this workbook (see the Break-Even Calculator on the Tier 1 sheet).</t>
  </si>
  <si>
    <t xml:space="preserve">Optimistic / Capacity ceiling</t>
  </si>
  <si>
    <t xml:space="preserve">Production capacity, not demand</t>
  </si>
  <si>
    <t xml:space="preserve">What you COULD produce, not necessarily what you will sell — see the capacity calculation just below. Treat as an upper bound, not a forecast.</t>
  </si>
  <si>
    <t xml:space="preserve">Hours/week available for production (your input)</t>
  </si>
  <si>
    <t xml:space="preserve">Not yet known — set this to see your realistic capacity ceiling. Left at 0 as a placeholder.</t>
  </si>
  <si>
    <t xml:space="preserve">→ Capacity-based monthly volume (stickers)</t>
  </si>
  <si>
    <t xml:space="preserve">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</si>
  <si>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 xml:space="preserve">OVERHEAD COST PER STICKER BY SCENARIO</t>
  </si>
  <si>
    <t xml:space="preserve">Overhead Cost / Sticker (£)</t>
  </si>
  <si>
    <t xml:space="preserve">ACTIVE SCENARIO (used in Bin Stickers sheet &amp; Break-Even Calculator)</t>
  </si>
  <si>
    <t xml:space="preserve">Active scenario</t>
  </si>
  <si>
    <t xml:space="preserve">Dropdown — pick Conservative, Base / Target, or Optimistic / Capacity ceiling. Defaults to Conservative: pricing against the low estimate means you stay covered even if early volume is slow; switch it once you have a few months of real data.</t>
  </si>
  <si>
    <t xml:space="preserve">→ Active monthly volume (stickers)</t>
  </si>
  <si>
    <t xml:space="preserve">→ Active overhead cost per sticker (£)</t>
  </si>
  <si>
    <t xml:space="preserve">item</t>
  </si>
  <si>
    <t xml:space="preserve">cost</t>
  </si>
  <si>
    <t xml:space="preserve">shipping</t>
  </si>
  <si>
    <t xml:space="preserve">total per item</t>
  </si>
  <si>
    <t xml:space="preserve">total</t>
  </si>
  <si>
    <t xml:space="preserve">per item</t>
  </si>
  <si>
    <t xml:space="preserve">diff</t>
  </si>
  <si>
    <t xml:space="preserve">white vinyl</t>
  </si>
  <si>
    <t xml:space="preserve">clear vinyl</t>
  </si>
  <si>
    <t xml:space="preserve">lamination</t>
  </si>
  <si>
    <t xml:space="preserve">Cricut</t>
  </si>
  <si>
    <t xml:space="preserve">EBAY MARKETING — PROMOTED LISTINGS &amp; FEE STACK (added Aug 2026)</t>
  </si>
  <si>
    <t xml:space="preserve">Ad spend is a VARIABLE cost (scales with price × volume), unlike the fixed monthly subscriptions above — deliberately kept as its own block rather than folded into the MONTHLY OVERHEAD SUBTOTAL (B11), since mixing a %-of-price cost into that flat per-sticker allocation would distort it whenever price changes. See chat for full research: ad-rate benchmarks, eBay's own suggested rates vs independent guidance, and how this stacks with Final Value Fee / per-order fee / regulatory fee. FLAG: price input below (£3.00) is a placeholder mid-point of the user-specified £2-4 'simple stickers' range (Aug 2026 chat) — this differs from the Business Plan Section 3 bin sticker range (£5-8/set) and the 'Bin Stickers 100x140 4pk' sheet (~£6/pack). Clarify whether this is a new single-sticker product tier or a per-unit breakdown of the existing set price, then reconcile across files.</t>
  </si>
  <si>
    <t xml:space="preserve">Assumed sale price per unit (£)</t>
  </si>
  <si>
    <t xml:space="preserve">£5.00 per 4-pack set by user (Oct 2026), Letter postage (£0.91), small size only. Previously £4.00 (Sep 2026) — at £4.00 profit was about £0.08 a pack before overhead. Competitor four-pack band is £1.69-£1.99 on eBay — see Competitor-Research.md. Medium and Large prices to be set separately.</t>
  </si>
  <si>
    <t xml:space="preserve">Promoted Listings ad rate (% of sale price)</t>
  </si>
  <si>
    <t xml:space="preserve">User-selected 4% (Aug 2026 chat) — independent-guidance recommended ceiling for small/new sellers. eBay's own suggested rate typically runs 8-15% and is optimised for eBay's revenue, not yours; community reports of 2-30% exist depending on category/margin. General/Standard campaign (cost-per-sale) assumed, not Priority/Advanced (cost-per-click) — right choice for a single-product launch at this volume.</t>
  </si>
  <si>
    <t xml:space="preserve">eBay Final Value Fee (business seller, standard category)</t>
  </si>
  <si>
    <t xml:space="preserve">12.8% of item price + postage, most categories, checked Aug 2026. Matches the ~13% already assumed in Business Plan Section 6, just broken out precisely here.</t>
  </si>
  <si>
    <t xml:space="preserve">eBay per-order fee (£, flat)</t>
  </si>
  <si>
    <t xml:space="preserve">30p per order under £10; rises to 40p for orders ≥£10 (changed Feb 2026 — NOT yet reflected in Business Plan Section 6 or the 4pk cost sheet, worth adding there too). At a £2-4 unit price this stays at 30p unless bundling pushes a single order over £10.</t>
  </si>
  <si>
    <t xml:space="preserve">eBay Regulatory Operating Fee (% of item price + postage)</t>
  </si>
  <si>
    <t xml:space="preserve">~0.35-0.43% UK regulatory fee, introduced April 2024, applies to all UK business sellers regardless of ad usage — also not currently broken out elsewhere in the workbook. 0.4% used as a midpoint.</t>
  </si>
  <si>
    <t xml:space="preserve">eBay UK VAT on seller fees (20%, non-recoverable — not VAT-registered)</t>
  </si>
  <si>
    <t xml:space="preserve">eBay UK charges 20% VAT on top of all business-seller fees (Final Value Fee, per-order fee, Regulatory Operating Fee, Promoted Listings ad fee). Not VAT-registered, so this is a real unreclaimable cost added to the fee stack. Single input cell — all fee formulas below reference this.</t>
  </si>
  <si>
    <t xml:space="preserve">→ COST PER UNIT SOLD</t>
  </si>
  <si>
    <t xml:space="preserve">Ad spend per unit (£)</t>
  </si>
  <si>
    <t xml:space="preserve">Final Value Fee per unit (£)</t>
  </si>
  <si>
    <t xml:space="preserve">Regulatory fee per unit (£)</t>
  </si>
  <si>
    <t xml:space="preserve">TOTAL EBAY PLATFORM COST PER UNIT (FVF + per-order + regulatory + ad) (£)</t>
  </si>
  <si>
    <t xml:space="preserve">Net proceeds per unit after all eBay fees (£)</t>
  </si>
  <si>
    <t xml:space="preserve">Total eBay fees as % of sale price</t>
  </si>
  <si>
    <t xml:space="preserve">→ MONTHLY, AT ACTIVE SCENARIO VOLUME (from ACTIVE SCENARIO block above)</t>
  </si>
  <si>
    <t xml:space="preserve">Active monthly volume (stickers)</t>
  </si>
  <si>
    <t xml:space="preserve">Monthly ad spend at active volume (£)</t>
  </si>
  <si>
    <t xml:space="preserve">Monthly TOTAL eBay platform fees at active volume (£)</t>
  </si>
  <si>
    <t xml:space="preserve">Fees are per-sale variable costs, deliberately NOT part of the fixed 'Recurring Overhead' sheet. They feed the Break-Even Calculator on the Tier 1 sheet.</t>
  </si>
  <si>
    <t xml:space="preserve">→ PRICE SENSITIVITY — same fee stack at other sale prices</t>
  </si>
  <si>
    <t xml:space="preserve">Sale price (£)</t>
  </si>
  <si>
    <t xml:space="preserve">Total eBay fees (£)</t>
  </si>
  <si>
    <t xml:space="preserve">Net proceeds (£)</t>
  </si>
  <si>
    <t xml:space="preserve">Fees as % of price</t>
  </si>
  <si>
    <t xml:space="preserve">Price point 1</t>
  </si>
  <si>
    <t xml:space="preserve">Price point 2</t>
  </si>
  <si>
    <t xml:space="preserve">Price point 3</t>
  </si>
  <si>
    <t xml:space="preserve">Price point 4</t>
  </si>
  <si>
    <t xml:space="preserve">Etsy — Fees &amp; Advertising (UK shop, not VAT-registered)</t>
  </si>
  <si>
    <t xml:space="preserve">Blue = editable input. Black = calculated. Companion to Etsy-Marketing-Guide.md — see that file for full context/sources. FLAG: price input below (£3.00) is a placeholder mid-point of the user-specified £2-4 'simple stickers' range — differs from Business Plan Section 3 (£5-8/set bin stickers). 'Sale price' here is treated as the TOTAL amount the buyer pays (item + any shipping charged), matching how Etsy calculates its fees.</t>
  </si>
  <si>
    <t xml:space="preserve">INPUTS</t>
  </si>
  <si>
    <t xml:space="preserve">Assumed sale price per unit, total incl. shipping (£)</t>
  </si>
  <si>
    <t xml:space="preserve">Placeholder — see flag above. Edit once price is locked.</t>
  </si>
  <si>
    <t xml:space="preserve">Listing fee per listing (£)</t>
  </si>
  <si>
    <t xml:space="preserve">~$0.20 USD converted. Charged whether or not it sells; renews every 4 months and again per sale on multi-quantity listings — this model assumes 1 listing fee per unit sold, the conservative case.</t>
  </si>
  <si>
    <t xml:space="preserve">Transaction fee rate</t>
  </si>
  <si>
    <t xml:space="preserve">6.5% of item price + shipping + gift wrap.</t>
  </si>
  <si>
    <t xml:space="preserve">Payment processing rate</t>
  </si>
  <si>
    <t xml:space="preserve">4% + fixed fee below. Etsy Payments is mandatory, no alternative processor option.</t>
  </si>
  <si>
    <t xml:space="preserve">Payment processing fixed fee (£)</t>
  </si>
  <si>
    <t xml:space="preserve">Regulatory Operating Fee rate</t>
  </si>
  <si>
    <t xml:space="preserve">0.32% of item price + shipping, UK-specific since 2022.</t>
  </si>
  <si>
    <t xml:space="preserve">VAT on Etsy fees (applies — not VAT-registered)</t>
  </si>
  <si>
    <t xml:space="preserve">20% VAT charged on ALL of Etsy's fees above when the seller isn't VAT-registered (per current business plan strategy). Set to 0% here if VAT registration status changes.</t>
  </si>
  <si>
    <t xml:space="preserve">Offsite Ads currently active? (Y/N)</t>
  </si>
  <si>
    <t xml:space="preserve">Optional and should be switched OFF in Shop Manager while trailing 12-month revenue is under $10,000 USD (~£8,000) — see guide. Becomes mandatory (can't be set to N) once that threshold is crossed.</t>
  </si>
  <si>
    <t xml:space="preserve">Offsite Ads fee rate (if active)</t>
  </si>
  <si>
    <t xml:space="preserve">15% below $10k trailing revenue, 12% once mandatory at/above it.</t>
  </si>
  <si>
    <t xml:space="preserve">Etsy Ads (onsite) daily budget (£) — optional, separate CPC spend</t>
  </si>
  <si>
    <t xml:space="preserve">Minimum ~£1/day. This is a controllable CPC budget, NOT a %-of-sale fee — kept separate from the cost-per-unit maths below since it doesn't scale with units sold. Shown as a monthly figure further down.</t>
  </si>
  <si>
    <t xml:space="preserve">→ COST PER UNIT SOLD (Listing + Transaction + Payment processing + Regulatory + VAT-on-fees)</t>
  </si>
  <si>
    <t xml:space="preserve">Transaction fee (£)</t>
  </si>
  <si>
    <t xml:space="preserve">Payment processing fee (£)</t>
  </si>
  <si>
    <t xml:space="preserve">Regulatory fee (£)</t>
  </si>
  <si>
    <t xml:space="preserve">Subtotal before VAT (£)</t>
  </si>
  <si>
    <t xml:space="preserve">VAT on fees (£)</t>
  </si>
  <si>
    <t xml:space="preserve">Offsite Ads fee incl. its own VAT (£), if active</t>
  </si>
  <si>
    <t xml:space="preserve">TOTAL ETSY FEES PER UNIT (£)</t>
  </si>
  <si>
    <t xml:space="preserve">Net proceeds per unit after all Etsy fees (£)</t>
  </si>
  <si>
    <t xml:space="preserve">Total Etsy fees as % of sale price</t>
  </si>
  <si>
    <t xml:space="preserve">→ MONTHLY, AT ACTIVE SCENARIO VOLUME (from 'Recurring Overhead' sheet)</t>
  </si>
  <si>
    <t xml:space="preserve">Monthly total Etsy fees at active volume (£)</t>
  </si>
  <si>
    <t xml:space="preserve">Monthly Etsy Ads (onsite) budget, if used (£)</t>
  </si>
  <si>
    <t xml:space="preserve">Independent of units sold — a controllable CPC budget, not charged per unit.</t>
  </si>
  <si>
    <t xml:space="preserve">Not wired into the 'Recurring Overhead' sheet's fixed subscription subtotal (B11), same rationale as the eBay block there: these are %-of-price/variable costs, and mixing them into a flat £/sticker overhead figure would distort it whenever price changes. See Etsy-Marketing-Guide.md for the recommended launch approach (Offsite Ads off, small onsite Ads budget, fix listing fundamentals first).</t>
  </si>
  <si>
    <t xml:space="preserve">Amazon — Fees &amp; Advertising (UK, FBM assumed)</t>
  </si>
  <si>
    <t xml:space="preserve">Blue = editable input. Black = calculated. Companion to Amazon-Marketing-Guide.md. FLAG: same £2-4 vs £5-8 price ambiguity as the other sheets applies here — £3.00 used as a placeholder. Amazon Handmade eligibility (12.24% flat referral fee, vs standard 8-15% category fee) is NOT confirmed for laminated vinyl stickers — standard referral fee used below as the conservative default; switch the input if Handmade is confirmed eligible.</t>
  </si>
  <si>
    <t xml:space="preserve">Placeholder — see flag above.</t>
  </si>
  <si>
    <t xml:space="preserve">Referral fee rate</t>
  </si>
  <si>
    <t xml:space="preserve">8-15% typical range by category; 15% (top of range) used as the conservative default. Confirm actual category rate before launch — check Amazon Handmade (12.24% flat) eligibility too.</t>
  </si>
  <si>
    <t xml:space="preserve">Minimum referral fee (£)</t>
  </si>
  <si>
    <t xml:space="preserve">Applies regardless of price — matters at £2-4 unit prices since the percentage-based fee may fall below this floor.</t>
  </si>
  <si>
    <t xml:space="preserve">Digital Services Tax pass-through rate</t>
  </si>
  <si>
    <t xml:space="preserve">Applied on top of the referral fee for UK-established sellers.</t>
  </si>
  <si>
    <t xml:space="preserve">Using Professional account? (Y/N)</t>
  </si>
  <si>
    <t xml:space="preserve">Required for Sponsored Products (PPC) access, Buy Box eligibility, and new listing creation. Guide recommends holding off until volume/margin justify the flat monthly cost. Set to 'Y' once committed.</t>
  </si>
  <si>
    <t xml:space="preserve">Professional account monthly fee (£)</t>
  </si>
  <si>
    <t xml:space="preserve">Individual account per-item fee (£, if not Professional)</t>
  </si>
  <si>
    <t xml:space="preserve">Sponsored Products target ACoS (launch phase)</t>
  </si>
  <si>
    <t xml:space="preserve">30-40%+ is normal/accepted during a launch phase per general guidance; established-product benchmarks run 15-25%. Only relevant if Professional account + Sponsored Products are actually turned on.</t>
  </si>
  <si>
    <t xml:space="preserve">→ COST PER UNIT SOLD (selling fees only, before advertising)</t>
  </si>
  <si>
    <t xml:space="preserve">Referral fee, greater of rate or minimum (£)</t>
  </si>
  <si>
    <t xml:space="preserve">Referral fee incl. DST pass-through (£)</t>
  </si>
  <si>
    <t xml:space="preserve">Account fee per unit — Individual only (£)</t>
  </si>
  <si>
    <t xml:space="preserve">Professional's £25/mo is a flat monthly cost, not per-unit — shown separately below.</t>
  </si>
  <si>
    <t xml:space="preserve">TOTAL SELLING FEES PER UNIT (£)</t>
  </si>
  <si>
    <t xml:space="preserve">Net proceeds per unit after selling fees, before advertising (£)</t>
  </si>
  <si>
    <t xml:space="preserve">Total selling fees as % of sale price</t>
  </si>
  <si>
    <t xml:space="preserve">→ MONTHLY, AT ACTIVE SCENARIO VOLUME</t>
  </si>
  <si>
    <t xml:space="preserve">Monthly total selling fees at active volume (£)</t>
  </si>
  <si>
    <t xml:space="preserve">Monthly Professional account fee, if used (£)</t>
  </si>
  <si>
    <t xml:space="preserve">Estimated monthly Sponsored Products spend, if Professional + advertising used (£)</t>
  </si>
  <si>
    <t xml:space="preserve">Approximation: ACoS × assumed monthly revenue, treating all volume as ad-attributed — a simplification, real ad-attributed revenue will be a subset of total sales. CPC spend is NOT cost-per-sale, so this is charged whether or not those specific clicks convert.</t>
  </si>
  <si>
    <t xml:space="preserve">Not wired into the 'Recurring Overhead' sheet's fixed subscription subtotal (B11) — same rationale as the eBay and Etsy blocks: variable/%-of-price costs kept separate from the flat £/sticker overhead allocation. Guide recommends holding Professional account + Sponsored Products off until Amazon volume and margin are established via eBay/Etsy first — the Y/N toggles above default to 'off' accordingly.</t>
  </si>
  <si>
    <t xml:space="preserve">Merge notes — StickerBinStickersCosts_v5 (Oct 2026; v4 notes below)</t>
  </si>
  <si>
    <t xml:space="preserve">Source versions reviewed</t>
  </si>
  <si>
    <t xml:space="preserve">StickerBinStickersCosts.xlsx (31 Jul) and _v2_old (2 Aug): nothing unique — fully superseded.</t>
  </si>
  <si>
    <t xml:space="preserve">_v3 (13 Sep): base of this file. Only version with the Medium and Large sheets.</t>
  </si>
  <si>
    <t xml:space="preserve">_v2 (20 Sep, newest edits): Recurring Overhead layout (gmail, virtual office), user decisions on baseline inputs.</t>
  </si>
  <si>
    <t xml:space="preserve">Decisions by user</t>
  </si>
  <si>
    <t xml:space="preserve">Vinyl £0.325, laminate £0.325, ink £0.10 (sticker and card). Address labels: SmithPackaging. Overhead list from v2. Scratch block deleted (Joy Xtra £180, lamp, bin, tools, file holder, Avery row, Cricut-vs-Stickiply cells).</t>
  </si>
  <si>
    <t xml:space="preserve">Fixes applied</t>
  </si>
  <si>
    <t xml:space="preserve">Cost per label used a hardcoded /3; now divides by labels per sheet (B55).</t>
  </si>
  <si>
    <t xml:space="preserve">Optimistic overhead scenario pointed at hours/week; now uses capacity volume.</t>
  </si>
  <si>
    <t xml:space="preserve">Virtual office (£250/yr) now in monthly overhead as £250/12; 'full year' column now x12 for Midjourney and lovart (was x6).</t>
  </si>
  <si>
    <t xml:space="preserve">Explore 5 = £330 (Ultimate Bundle) in the core subtotal; laminator = Stickiply £115; corner punch, Slice and mat moved to an On-hold group.</t>
  </si>
  <si>
    <t xml:space="preserve">Packaging: A6/C6 board-backed envelope (£0.25) added and selected. Postage default: Large Letter £1.55 until Test 6.</t>
  </si>
  <si>
    <t xml:space="preserve">eBay price £4.00; eBay, Etsy and Amazon fee sections are now live formulas; monthly volume linked to the active overhead scenario.</t>
  </si>
  <si>
    <t xml:space="preserve">Break-even calculator rebuilt: profit before overhead, packs to recover startup cost, packs per month to cover overhead.</t>
  </si>
  <si>
    <t xml:space="preserve">Medium/Large sheets: shared inputs (materials, ink, card, postage prices, labels) link to the baseline sheet; overhead link re-pointed.</t>
  </si>
  <si>
    <t xml:space="preserve">Still open</t>
  </si>
  <si>
    <t xml:space="preserve">Etsy and Amazon prices are still £3.00 placeholders.</t>
  </si>
  <si>
    <t xml:space="preserve">Medium/Large packaging still uses C4 placeholder prices; Medium (202x140) fits a C5. Not yet sourced.</t>
  </si>
  <si>
    <t xml:space="preserve">Double Dragon A6/C6 test pack works out at £0.147 per envelope vs the £0.25 sourced figure used here — reconcile.</t>
  </si>
  <si>
    <t xml:space="preserve">SmithPackaging labels are full-A4 (199.6 x 289.1mm); 1 per sheet assumed. Set B55 to 3 if you cut them apart.</t>
  </si>
  <si>
    <t xml:space="preserve">Notes in the R&amp;D block (D32, D33) describe packaging candidates and Test 6 postage but sit on the vinyl rows; there is no postage cost row for the test parcels.</t>
  </si>
  <si>
    <t xml:space="preserve">Sizes updated Sep 2026 (user-confirmed): Medium 202x140mm (was 210x140), Large 280x200mm (was 200x287). Both print in normal mode; sheets renamed to match. Costs unchanged.</t>
  </si>
  <si>
    <t xml:space="preserve">v5 changes (Oct 2026)</t>
  </si>
  <si>
    <t xml:space="preserve">Packaging selection (100x140 B27) switched from the backing card (£0.15) to the A6/C6 board-backed envelope (£0.25) - the confirmed choice; v4 notes said it was selected but the cell still pointed at the backing card.</t>
  </si>
  <si>
    <t xml:space="preserve">Address label (100x140 B78) set to £0: labels are printed free at the Post Office via Click &amp; Drop QR code. Previous £32.21 kept in the cell note. Landed cost per pack (B84) moves from £2.82 to £2.49.</t>
  </si>
  <si>
    <t xml:space="preserve">New tab 'Packing Oct 2026': AKAR A6/C6 box (capped at 4 packs, 23mm, 82-84g) and clear tape (30cm per envelope, 45cm per box) with live formulas. Box price, boxes per pack, tape roll price and length are still blank (yellow) - costs show £0 until filled.</t>
  </si>
  <si>
    <t xml:space="preserve">Not yet in totals: tape and the AKAR box are on the new tab only. Add them to B28/B30 once prices are known.</t>
  </si>
  <si>
    <t xml:space="preserve">Open: the Shipping Plan quotes the SmithPackaging label pack at £9/100 sheets, but the cost sheet used £32.21/25 sheets - moot while labels are £0, but reconcile before any home printing.</t>
  </si>
  <si>
    <t xml:space="preserve">_v6 (1 Oct 2026): Recurring Overhead row 11 repurposed from the generic Other subscription placeholder to Photoroom Pro, £0 until adopted. No other formulas changed.</t>
  </si>
  <si>
    <t xml:space="preserve">_v7 (4 Oct 2026): personal wrap + seal tape</t>
  </si>
  <si>
    <t xml:space="preserve">100x140 sheet: new block rows 99-112 (paper £8/250 sheets per user, 1 wrap per A4, ink linked to B14, Cricut Y/N toggle, tape linked from Packing tab). B30 now = materials + packaging + consumables + B111, so B31, B48, B84, B86 and the Tier 1 break-even all include the wrap and tape.</t>
  </si>
  <si>
    <t xml:space="preserve">Packing Oct 2026: tape filled in (Sellotape Zero Plastic 24mm x 30m, £5.94, GreenStat). The envelope tape is now in the 100x140 totals; the AKAR box price is still blank.</t>
  </si>
  <si>
    <t xml:space="preserve">Medium/Large sheets unchanged: the wrap is small-size only.</t>
  </si>
  <si>
    <t xml:space="preserve">Still open: the 40mm seal sticker is now printed on regular (non-waterproof) sticker paper, but B39:B44 still cost it on the £32.21 waterproof pack. Update once the paper is chosen.</t>
  </si>
  <si>
    <t xml:space="preserve">v7 review (4 Oct 2026, user edits): seal sticker paper now SmithPackaging labels £8.99/100 (was £32.21/25 waterproof); mat £12.00 (was £11.50); blade £4.50 per blade, from a 2-blade pack (was £11.99). Labels and notes updated to match.</t>
  </si>
  <si>
    <t xml:space="preserve">_v8 (Oct 2026): peel markers + Cricut back cut</t>
  </si>
  <si>
    <t xml:space="preserve">New block on all three bin sticker tabs: one 'PEEL THIS FIRST' pill + one arrow per sticker (4 / 2 / 1 sets per pack), printed on the SmithPackaging label sheets and cut with Print Then Cut, 35 sets per sheet (user-tested). Feeds B30, so it flows into every landed-cost and profit figure.</t>
  </si>
  <si>
    <t xml:space="preserve">Back cut: a second Cricut pass per sticker sheet (sheet face down, slit through the backing only). Costed as one extra mat use + one blade cut per sheet, which is most of the increase; it depends heavily on the 45-uses mat placeholder. Toggle with the Y/N cell on the baseline tab.</t>
  </si>
  <si>
    <t xml:space="preserve">_v9 (5 Oct 2026): Cricut Costs sheet</t>
  </si>
  <si>
    <t xml:space="preserve">Base: the user's own v8 copy, which had three edits not in the project copy: 12x12 mat £4 (3rd-party 3-pack), 100x140 B74 hardcoded to 0 ('no need thanks to back cut'), and B125 = B66+B70 (Y/N toggle bypassed).</t>
  </si>
  <si>
    <t xml:space="preserve">New 'Cricut Costs' sheet: MATS table (12x12 StandardGrip £12/3 = £4; 12x24 StandardGrip £32.99/4 = £8.25, Cricut UK 5 Oct 2026), BLADES table (fine-point £9/2 = £4.50), and a JOBS table where each Cricut pass picks its mat and blade from dropdowns. Spare rows for future mat types, blades and jobs.</t>
  </si>
  <si>
    <t xml:space="preserve">All three bin sticker tabs: rows 61-74 now pull the main kiss-cut cost from the JOBS table, with a Y/N toggle in B64 (100x140 = N, replacing the hardcoded 0; 202x140 and 280x200 = Y, unchanged). Old per-tab blade/mat inputs removed.</t>
  </si>
  <si>
    <t xml:space="preserve">Back cut (100x140 B125, 202x140/280x200 B105) now uses the 12x24 mat, so it costs more: about £0.206 per sheet vs £0.111. 100x140 B122 toggle restored. Wrap (B108) and peel markers (B118) use the 12x12 jobs.</t>
  </si>
  <si>
    <t xml:space="preserve">Still open: whether the medium/large sizes also drop the main kiss-cut; sheets per 12x24 mat load (1 assumed); uses per 12x24 mat (45, copied from 12x12).</t>
  </si>
  <si>
    <t xml:space="preserve">_v10 (6 Oct 2026): 100x140 4pk tab reordered</t>
  </si>
  <si>
    <t xml:space="preserve">Base: user's v9 with new mat prices on Cricut Costs (12x12 £19/6 = £3.17; 12x24 £24/2 = £12.00).</t>
  </si>
  <si>
    <t xml:space="preserve">100x140 4pk tab regrouped into 1 Product (sticker sheet materials, Cricut cutting, peel markers), 2 Packing (envelope + seal tape, personal wrap, thank-you card, logo sticker), 3 Shipping (postage, address label), with one TOTAL COST PER PACK summary at the bottom, followed by overhead.</t>
  </si>
  <si>
    <t xml:space="preserve">Removed the mid-sheet totals (old B30 'Total cost per pack excl. shipping', old B48 'Total', duplicate landed-cost row B86) and the two old subtotal rows that mixed categories (wrap + tape, markers + back cut). Seal tape moved under the envelope; back cut moved under Cricut cutting. Totals unchanged.</t>
  </si>
  <si>
    <t xml:space="preserve">All links into this tab re-pointed (Tier 1 break-even, Packing Oct 2026, 202x140, 280x200). Landed cost is now B120 (was B84). Dropdowns added to the packaging and shipping selection cells.</t>
  </si>
  <si>
    <t xml:space="preserve">202x140 and 280x200 tabs keep the old layout for now.</t>
  </si>
  <si>
    <t xml:space="preserve">_v11 (6 Oct 2026): 202x140 and 280x200 tabs reordered</t>
  </si>
  <si>
    <t xml:space="preserve">Both tabs now follow the same layout as the 100x140 tab: 1 Product (sticker sheet materials, Cricut cutting incl. back cut, peel markers), 2 Packing (envelope, thank-you card, logo sticker), 3 Shipping (postage, address label), then one TOTAL COST PER PACK summary, then overhead.</t>
  </si>
  <si>
    <t xml:space="preserve">Removed the mid-sheet totals (old B30, old B48 'Total') and the mixed 'peel markers + back cut' subtotal. Labels fixed: 'MATERIALS COST PER PACK (4 stickers)' and 'Overhead cost per pack (4 stickers)' were copied from the 4-pack. Dropdowns added to the packaging and shipping selection cells. Totals unchanged.</t>
  </si>
  <si>
    <t xml:space="preserve">Landed cost is now B99 on both tabs (was B84). No other sheet links into these two tabs, so nothing else needed re-pointing.</t>
  </si>
  <si>
    <t xml:space="preserve">_v12 (6 Oct 2026): eBay price set to £5.00</t>
  </si>
  <si>
    <t xml:space="preserve">User decision: small 4-pack launches at £5.00 on eBay with Letter postage (£0.91). Ebay costs B5 changed from £4.00 to £5.00 (note C5 updated); Tier 1 break-even note D51 updated. No formulas changed — the Break-Even Calculator, fee stack and per-pack profit recalculate from B5.</t>
  </si>
  <si>
    <t xml:space="preserve">Not changed: Medium and Large prices (to be set later and will differ), the Etsy and Amazon £3.00 placeholders, the blank AKAR box price on 'Packing Oct 2026', and the Price sensitivity table (£3/£4/£5/£6).</t>
  </si>
  <si>
    <t xml:space="preserve">_v13 (6 Oct 2026): Tracked postage prices updated</t>
  </si>
  <si>
    <t xml:space="preserve">Bin Stickers 100x140 4pk B99 Tracked 48 £2.75 -&gt; £2.90 and B100 Tracked 24 £3.65 -&gt; £3.90 (Royal Mail online Large Letter prices from 5 Oct 2026). Notes C96, C99, C100, C101 and heading A94 updated. Medium and Large tabs link to these cells, so they update automatically.</t>
  </si>
  <si>
    <t xml:space="preserve">No profit figures change: every tab's selected tier is unchanged (Small = Letter £0.91), and Tracked services are not offered at launch. Letter (£0.91) and Large Letter (£1.55) prices did not change on 5 Oct 2026.</t>
  </si>
</sst>
</file>

<file path=xl/styles.xml><?xml version="1.0" encoding="utf-8"?>
<styleSheet xmlns="http://schemas.openxmlformats.org/spreadsheetml/2006/main">
  <numFmts count="10">
    <numFmt numFmtId="164" formatCode="General"/>
    <numFmt numFmtId="165" formatCode="\£#,##0.00"/>
    <numFmt numFmtId="166" formatCode="#,##0"/>
    <numFmt numFmtId="167" formatCode="0"/>
    <numFmt numFmtId="168" formatCode="@"/>
    <numFmt numFmtId="169" formatCode="\£#,##0.0000"/>
    <numFmt numFmtId="170" formatCode="\£#,##0.000"/>
    <numFmt numFmtId="171" formatCode="0.0"/>
    <numFmt numFmtId="172" formatCode="General"/>
    <numFmt numFmtId="173" formatCode="0.0%"/>
  </numFmts>
  <fonts count="45">
    <font>
      <sz val="11"/>
      <color theme="1"/>
      <name val="Calibri"/>
      <family val="2"/>
      <charset val="1"/>
    </font>
    <font>
      <sz val="10"/>
      <name val="Arial"/>
      <family val="0"/>
    </font>
    <font>
      <sz val="10"/>
      <name val="Arial"/>
      <family val="0"/>
    </font>
    <font>
      <sz val="10"/>
      <name val="Arial"/>
      <family val="0"/>
    </font>
    <font>
      <b val="true"/>
      <sz val="14"/>
      <color rgb="FF1F3864"/>
      <name val="Arial"/>
      <family val="2"/>
      <charset val="1"/>
    </font>
    <font>
      <i val="true"/>
      <sz val="9"/>
      <color rgb="FF666666"/>
      <name val="Arial"/>
      <family val="2"/>
      <charset val="1"/>
    </font>
    <font>
      <b val="true"/>
      <sz val="11"/>
      <color rgb="FFFFFFFF"/>
      <name val="Arial"/>
      <family val="2"/>
      <charset val="1"/>
    </font>
    <font>
      <sz val="11"/>
      <color rgb="FF000000"/>
      <name val="Arial"/>
      <family val="2"/>
      <charset val="1"/>
    </font>
    <font>
      <sz val="11"/>
      <color rgb="FF0000FF"/>
      <name val="Arial"/>
      <family val="2"/>
      <charset val="1"/>
    </font>
    <font>
      <b val="true"/>
      <sz val="11"/>
      <color rgb="FF000000"/>
      <name val="Arial"/>
      <family val="2"/>
      <charset val="1"/>
    </font>
    <font>
      <b val="true"/>
      <sz val="11"/>
      <color rgb="FF1F3864"/>
      <name val="Arial"/>
      <family val="2"/>
      <charset val="1"/>
    </font>
    <font>
      <b val="true"/>
      <sz val="12"/>
      <color rgb="FFFFFFFF"/>
      <name val="Arial"/>
      <family val="2"/>
      <charset val="1"/>
    </font>
    <font>
      <sz val="10"/>
      <color rgb="FF555555"/>
      <name val="Segoe UI"/>
      <family val="2"/>
      <charset val="1"/>
    </font>
    <font>
      <u val="single"/>
      <sz val="11"/>
      <color theme="10"/>
      <name val="Calibri"/>
      <family val="2"/>
      <charset val="1"/>
    </font>
    <font>
      <b val="true"/>
      <sz val="12"/>
      <color rgb="FF1F3864"/>
      <name val="Arial"/>
      <family val="2"/>
      <charset val="1"/>
    </font>
    <font>
      <sz val="11"/>
      <color rgb="FF008000"/>
      <name val="Arial"/>
      <family val="2"/>
      <charset val="1"/>
    </font>
    <font>
      <b val="true"/>
      <sz val="13"/>
      <color rgb="FF1F3864"/>
      <name val="Calibri"/>
      <family val="2"/>
      <charset val="1"/>
    </font>
    <font>
      <sz val="11"/>
      <color rgb="FF666666"/>
      <name val="Calibri"/>
      <family val="2"/>
      <charset val="1"/>
    </font>
    <font>
      <b val="true"/>
      <sz val="11"/>
      <color rgb="FF1F3864"/>
      <name val="Calibri"/>
      <family val="2"/>
      <charset val="1"/>
    </font>
    <font>
      <b val="true"/>
      <sz val="11"/>
      <color rgb="FFFFFFFF"/>
      <name val="Calibri"/>
      <family val="2"/>
      <charset val="1"/>
    </font>
    <font>
      <sz val="11"/>
      <color rgb="FF0000FF"/>
      <name val="Calibri"/>
      <family val="2"/>
      <charset val="1"/>
    </font>
    <font>
      <b val="true"/>
      <sz val="12"/>
      <color rgb="FFFFFFFF"/>
      <name val="Calibri"/>
      <family val="2"/>
      <charset val="1"/>
    </font>
    <font>
      <b val="true"/>
      <sz val="11"/>
      <color rgb="FF000000"/>
      <name val="Calibri"/>
      <family val="2"/>
      <charset val="1"/>
    </font>
    <font>
      <sz val="11"/>
      <color rgb="FF000000"/>
      <name val="Calibri"/>
      <family val="2"/>
      <charset val="1"/>
    </font>
    <font>
      <sz val="11"/>
      <color rgb="FF008000"/>
      <name val="Calibri"/>
      <family val="2"/>
      <charset val="1"/>
    </font>
    <font>
      <sz val="11"/>
      <name val="Calibri"/>
      <family val="2"/>
      <charset val="1"/>
    </font>
    <font>
      <b val="true"/>
      <sz val="11"/>
      <name val="Calibri"/>
      <family val="2"/>
      <charset val="1"/>
    </font>
    <font>
      <b val="true"/>
      <sz val="11"/>
      <color theme="1"/>
      <name val="Calibri"/>
      <family val="2"/>
      <charset val="1"/>
    </font>
    <font>
      <b val="true"/>
      <sz val="11"/>
      <color rgb="FF0000FF"/>
      <name val="Calibri"/>
      <family val="2"/>
      <charset val="1"/>
    </font>
    <font>
      <b val="true"/>
      <sz val="12"/>
      <name val="Calibri"/>
      <family val="2"/>
      <charset val="1"/>
    </font>
    <font>
      <i val="true"/>
      <sz val="9"/>
      <color rgb="FF666666"/>
      <name val="Calibri"/>
      <family val="2"/>
      <charset val="1"/>
    </font>
    <font>
      <sz val="9"/>
      <color rgb="FF666666"/>
      <name val="Calibri"/>
      <family val="2"/>
      <charset val="1"/>
    </font>
    <font>
      <b val="true"/>
      <sz val="13"/>
      <name val="Calibri"/>
      <family val="2"/>
      <charset val="1"/>
    </font>
    <font>
      <b val="true"/>
      <sz val="14"/>
      <color rgb="FF1F3864"/>
      <name val="Calibri"/>
      <family val="2"/>
      <charset val="1"/>
    </font>
    <font>
      <sz val="13"/>
      <color rgb="FF1F1F1F"/>
      <name val="Arial"/>
      <family val="2"/>
      <charset val="1"/>
    </font>
    <font>
      <b val="true"/>
      <sz val="11"/>
      <color rgb="FF1F3864"/>
      <name val="Cambria"/>
      <family val="1"/>
      <charset val="1"/>
    </font>
    <font>
      <i val="true"/>
      <sz val="10"/>
      <color rgb="FF666666"/>
      <name val="Cambria"/>
      <family val="1"/>
      <charset val="1"/>
    </font>
    <font>
      <b val="true"/>
      <sz val="11"/>
      <color rgb="FFFFFFFF"/>
      <name val="Cambria"/>
      <family val="1"/>
      <charset val="1"/>
    </font>
    <font>
      <sz val="11"/>
      <color rgb="FF000000"/>
      <name val="Cambria"/>
      <family val="1"/>
      <charset val="1"/>
    </font>
    <font>
      <sz val="11"/>
      <color rgb="FF0000FF"/>
      <name val="Cambria"/>
      <family val="1"/>
      <charset val="1"/>
    </font>
    <font>
      <sz val="11"/>
      <color rgb="FF008000"/>
      <name val="Cambria"/>
      <family val="1"/>
      <charset val="1"/>
    </font>
    <font>
      <b val="true"/>
      <sz val="14"/>
      <color rgb="FF1F3864"/>
      <name val="Cambria"/>
      <family val="1"/>
      <charset val="1"/>
    </font>
    <font>
      <b val="true"/>
      <sz val="11"/>
      <name val="Arial"/>
      <family val="2"/>
      <charset val="1"/>
    </font>
    <font>
      <sz val="11"/>
      <name val="Arial"/>
      <family val="2"/>
      <charset val="1"/>
    </font>
    <font>
      <b val="true"/>
      <sz val="11"/>
      <name val="Cambria"/>
      <family val="1"/>
      <charset val="1"/>
    </font>
  </fonts>
  <fills count="6">
    <fill>
      <patternFill patternType="none"/>
    </fill>
    <fill>
      <patternFill patternType="gray125"/>
    </fill>
    <fill>
      <patternFill patternType="solid">
        <fgColor rgb="FF1F3864"/>
        <bgColor rgb="FF1F1F1F"/>
      </patternFill>
    </fill>
    <fill>
      <patternFill patternType="solid">
        <fgColor rgb="FFDCE6F1"/>
        <bgColor rgb="FFCCFFFF"/>
      </patternFill>
    </fill>
    <fill>
      <patternFill patternType="solid">
        <fgColor rgb="FFFFFF00"/>
        <bgColor rgb="FFFFFF00"/>
      </patternFill>
    </fill>
    <fill>
      <patternFill patternType="solid">
        <fgColor rgb="FFB8CCE4"/>
        <bgColor rgb="FFBBBBBB"/>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5" fontId="11"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9" fillId="3" borderId="0" xfId="0" applyFont="true" applyBorder="false" applyAlignment="tru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20" fillId="4"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5" fontId="20" fillId="4" borderId="0" xfId="0" applyFont="true" applyBorder="false" applyAlignment="true" applyProtection="false">
      <alignment horizontal="general" vertical="bottom" textRotation="0" wrapText="false" indent="0" shrinkToFit="false"/>
      <protection locked="true" hidden="false"/>
    </xf>
    <xf numFmtId="165" fontId="22" fillId="3" borderId="0" xfId="0" applyFont="true" applyBorder="false" applyAlignment="tru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8" fontId="20" fillId="4"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7" fontId="23" fillId="0" borderId="0" xfId="0" applyFont="true" applyBorder="false" applyAlignment="true" applyProtection="false">
      <alignment horizontal="general" vertical="top" textRotation="0" wrapText="true" indent="0" shrinkToFit="false"/>
      <protection locked="true" hidden="false"/>
    </xf>
    <xf numFmtId="165" fontId="24" fillId="0" borderId="0" xfId="0" applyFont="true" applyBorder="false" applyAlignment="true" applyProtection="false">
      <alignment horizontal="general" vertical="top" textRotation="0" wrapText="true" indent="0" shrinkToFit="false"/>
      <protection locked="true" hidden="false"/>
    </xf>
    <xf numFmtId="169" fontId="24" fillId="0" borderId="0" xfId="0" applyFont="true" applyBorder="false" applyAlignment="true" applyProtection="false">
      <alignment horizontal="general" vertical="top" textRotation="0" wrapText="true" indent="0" shrinkToFit="false"/>
      <protection locked="true" hidden="false"/>
    </xf>
    <xf numFmtId="167" fontId="24"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5" fontId="22" fillId="3"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7" fontId="20" fillId="4" borderId="0" xfId="0" applyFont="true" applyBorder="false" applyAlignment="true" applyProtection="false">
      <alignment horizontal="general" vertical="bottom" textRotation="0" wrapText="false" indent="0" shrinkToFit="false"/>
      <protection locked="true" hidden="false"/>
    </xf>
    <xf numFmtId="170" fontId="22" fillId="3"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5" fontId="26" fillId="3" borderId="0" xfId="0" applyFont="true" applyBorder="false" applyAlignment="true" applyProtection="false">
      <alignment horizontal="general" vertical="bottom" textRotation="0" wrapText="false" indent="0" shrinkToFit="false"/>
      <protection locked="true" hidden="false"/>
    </xf>
    <xf numFmtId="165" fontId="25" fillId="0" borderId="0" xfId="0" applyFont="true" applyBorder="false" applyAlignment="true" applyProtection="false">
      <alignment horizontal="general" vertical="bottom" textRotation="0" wrapText="false" indent="0" shrinkToFit="false"/>
      <protection locked="true" hidden="false"/>
    </xf>
    <xf numFmtId="170" fontId="26" fillId="3" borderId="0" xfId="0" applyFont="true" applyBorder="false" applyAlignment="true" applyProtection="false">
      <alignment horizontal="general" vertical="bottom" textRotation="0" wrapText="false" indent="0" shrinkToFit="false"/>
      <protection locked="true" hidden="false"/>
    </xf>
    <xf numFmtId="164" fontId="18" fillId="5" borderId="0" xfId="0" applyFont="true" applyBorder="false" applyAlignment="true" applyProtection="false">
      <alignment horizontal="general" vertical="bottom" textRotation="0" wrapText="false" indent="0" shrinkToFit="false"/>
      <protection locked="true" hidden="false"/>
    </xf>
    <xf numFmtId="165" fontId="26" fillId="5"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5" fontId="19" fillId="2" borderId="0" xfId="0" applyFont="true" applyBorder="false" applyAlignment="true" applyProtection="false">
      <alignment horizontal="general" vertical="bottom" textRotation="0" wrapText="false" indent="0" shrinkToFit="false"/>
      <protection locked="true" hidden="false"/>
    </xf>
    <xf numFmtId="165" fontId="24" fillId="0" borderId="0" xfId="0" applyFont="true" applyBorder="false" applyAlignment="true" applyProtection="false">
      <alignment horizontal="general" vertical="bottom" textRotation="0" wrapText="false" indent="0" shrinkToFit="false"/>
      <protection locked="true" hidden="false"/>
    </xf>
    <xf numFmtId="168" fontId="20" fillId="4" borderId="0" xfId="0" applyFont="true" applyBorder="false" applyAlignment="true" applyProtection="false">
      <alignment horizontal="general" vertical="bottom" textRotation="0" wrapText="false" indent="0" shrinkToFit="false"/>
      <protection locked="true" hidden="false"/>
    </xf>
    <xf numFmtId="171" fontId="25" fillId="0" borderId="0" xfId="0" applyFont="true" applyBorder="false" applyAlignment="true" applyProtection="false">
      <alignment horizontal="general" vertical="bottom" textRotation="0" wrapText="false" indent="0" shrinkToFit="false"/>
      <protection locked="true" hidden="false"/>
    </xf>
    <xf numFmtId="165" fontId="27" fillId="3" borderId="0" xfId="0" applyFont="true" applyBorder="false" applyAlignment="true" applyProtection="false">
      <alignment horizontal="general" vertical="bottom" textRotation="0" wrapText="false" indent="0" shrinkToFit="false"/>
      <protection locked="true" hidden="false"/>
    </xf>
    <xf numFmtId="165" fontId="28" fillId="3" borderId="0" xfId="0" applyFont="true" applyBorder="false" applyAlignment="true" applyProtection="false">
      <alignment horizontal="general" vertical="bottom" textRotation="0" wrapText="false" indent="0" shrinkToFit="false"/>
      <protection locked="true" hidden="false"/>
    </xf>
    <xf numFmtId="167" fontId="28" fillId="4" borderId="0" xfId="0" applyFont="true" applyBorder="false" applyAlignment="true" applyProtection="false">
      <alignment horizontal="general" vertical="bottom" textRotation="0" wrapText="false" indent="0" shrinkToFit="false"/>
      <protection locked="true" hidden="false"/>
    </xf>
    <xf numFmtId="167" fontId="24" fillId="0" borderId="0" xfId="0" applyFont="true" applyBorder="false" applyAlignment="true" applyProtection="false">
      <alignment horizontal="general" vertical="bottom" textRotation="0" wrapText="false" indent="0" shrinkToFit="false"/>
      <protection locked="true" hidden="false"/>
    </xf>
    <xf numFmtId="165" fontId="25" fillId="3"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5" fontId="29" fillId="3"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0" fontId="25" fillId="0" borderId="0" xfId="0" applyFont="true" applyBorder="false" applyAlignment="true" applyProtection="false">
      <alignment horizontal="general" vertical="bottom" textRotation="0" wrapText="false" indent="0" shrinkToFit="false"/>
      <protection locked="true" hidden="false"/>
    </xf>
    <xf numFmtId="167" fontId="20" fillId="0" borderId="0" xfId="0" applyFont="true" applyBorder="false" applyAlignment="true" applyProtection="false">
      <alignment horizontal="general" vertical="bottom" textRotation="0" wrapText="false" indent="0" shrinkToFit="false"/>
      <protection locked="true" hidden="false"/>
    </xf>
    <xf numFmtId="169"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70" fontId="24"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72" fontId="24"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2" borderId="0" xfId="0" applyFont="true" applyBorder="false" applyAlignment="true" applyProtection="false">
      <alignment horizontal="general" vertical="top" textRotation="0" wrapText="true" indent="0" shrinkToFit="false"/>
      <protection locked="true" hidden="false"/>
    </xf>
    <xf numFmtId="165" fontId="20" fillId="4" borderId="0" xfId="0" applyFont="true" applyBorder="false" applyAlignment="true" applyProtection="false">
      <alignment horizontal="general" vertical="top" textRotation="0" wrapText="true" indent="0" shrinkToFit="false"/>
      <protection locked="true" hidden="false"/>
    </xf>
    <xf numFmtId="167" fontId="20" fillId="4" borderId="0" xfId="0" applyFont="true" applyBorder="false" applyAlignment="true" applyProtection="false">
      <alignment horizontal="general" vertical="top" textRotation="0" wrapText="true" indent="0" shrinkToFit="false"/>
      <protection locked="true" hidden="false"/>
    </xf>
    <xf numFmtId="169" fontId="22" fillId="3" borderId="0" xfId="0" applyFont="true" applyBorder="false" applyAlignment="true" applyProtection="false">
      <alignment horizontal="general" vertical="top" textRotation="0" wrapText="true" indent="0" shrinkToFit="false"/>
      <protection locked="true" hidden="false"/>
    </xf>
    <xf numFmtId="164" fontId="20" fillId="4" borderId="0" xfId="0" applyFont="true" applyBorder="fals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5" fontId="20"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71" fontId="8" fillId="4"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72" fontId="0" fillId="4" borderId="0" xfId="0" applyFont="fals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2"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5" fontId="39" fillId="0" borderId="0" xfId="0" applyFont="true" applyBorder="false" applyAlignment="true" applyProtection="false">
      <alignment horizontal="general" vertical="bottom" textRotation="0" wrapText="false" indent="0" shrinkToFit="false"/>
      <protection locked="true" hidden="false"/>
    </xf>
    <xf numFmtId="173" fontId="39" fillId="0" borderId="0" xfId="0" applyFont="true" applyBorder="false" applyAlignment="true" applyProtection="false">
      <alignment horizontal="general" vertical="bottom" textRotation="0" wrapText="false" indent="0" shrinkToFit="false"/>
      <protection locked="true" hidden="false"/>
    </xf>
    <xf numFmtId="165" fontId="38" fillId="0" borderId="0" xfId="0" applyFont="true" applyBorder="false" applyAlignment="true" applyProtection="false">
      <alignment horizontal="general" vertical="bottom" textRotation="0" wrapText="false" indent="0" shrinkToFit="false"/>
      <protection locked="true" hidden="false"/>
    </xf>
    <xf numFmtId="173" fontId="38" fillId="0" borderId="0" xfId="0" applyFont="true" applyBorder="false" applyAlignment="true" applyProtection="false">
      <alignment horizontal="general" vertical="bottom" textRotation="0" wrapText="false" indent="0" shrinkToFit="false"/>
      <protection locked="true" hidden="false"/>
    </xf>
    <xf numFmtId="167" fontId="40"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55555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uk/dp/B0DK3V552G?ref=ppx_yo2ov_dt_b_fed_asin_title" TargetMode="External"/><Relationship Id="rId2" Type="http://schemas.openxmlformats.org/officeDocument/2006/relationships/hyperlink" Target="https://www.amazon.co.uk/dp/B0DXY7Q984?ref=ppx_yo2ov_dt_b_fed_asin_title" TargetMode="External"/><Relationship Id="rId3" Type="http://schemas.openxmlformats.org/officeDocument/2006/relationships/hyperlink" Target="https://www.amazon.co.uk/dp/B0DJZFTP56?ref=ppx_yo2ov_dt_b_fed_asin_title" TargetMode="External"/><Relationship Id="rId4" Type="http://schemas.openxmlformats.org/officeDocument/2006/relationships/hyperlink" Target="https://www.amazon.co.uk/dp/B082WLC8BJ?ref=ppx_yo2ov_dt_b_fed_asin_title" TargetMode="External"/><Relationship Id="rId5" Type="http://schemas.openxmlformats.org/officeDocument/2006/relationships/hyperlink" Target="https://www.amazon.co.uk/dp/B0BNQW8LY3?ref=ppx_yo2ov_dt_b_fed_asin_title" TargetMode="External"/><Relationship Id="rId6" Type="http://schemas.openxmlformats.org/officeDocument/2006/relationships/hyperlink" Target="https://www.amazon.co.uk/dp/B0DFZ6585M?ref=ppx_yo2ov_dt_b_fed_asin_title" TargetMode="External"/><Relationship Id="rId7" Type="http://schemas.openxmlformats.org/officeDocument/2006/relationships/hyperlink" Target="https://www.amazon.co.uk/dp/B094454Q6P?ref=ppx_yo2ov_dt_b_fed_asin_titl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30" activePane="bottomLeft" state="frozen"/>
      <selection pane="topLeft" activeCell="A1" activeCellId="0" sqref="A1"/>
      <selection pane="bottomLeft" activeCell="F35" activeCellId="0" sqref="F35"/>
    </sheetView>
  </sheetViews>
  <sheetFormatPr defaultColWidth="8.66796875" defaultRowHeight="15" zeroHeight="false" outlineLevelRow="0" outlineLevelCol="0"/>
  <cols>
    <col collapsed="false" customWidth="true" hidden="false" outlineLevel="0" max="1" min="1" style="1" width="66"/>
    <col collapsed="false" customWidth="true" hidden="false" outlineLevel="0" max="3" min="2" style="1" width="14"/>
    <col collapsed="false" customWidth="true" hidden="false" outlineLevel="0" max="4" min="4" style="1" width="4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t="n">
        <v>370</v>
      </c>
      <c r="C5" s="5" t="s">
        <v>7</v>
      </c>
      <c r="D5" s="7" t="s">
        <v>8</v>
      </c>
    </row>
    <row r="6" customFormat="false" ht="15" hidden="false" customHeight="true" outlineLevel="0" collapsed="false">
      <c r="A6" s="5" t="s">
        <v>9</v>
      </c>
      <c r="B6" s="6" t="n">
        <v>0</v>
      </c>
      <c r="C6" s="5" t="s">
        <v>7</v>
      </c>
      <c r="D6" s="7" t="s">
        <v>10</v>
      </c>
      <c r="E6" s="1" t="s">
        <v>11</v>
      </c>
    </row>
    <row r="7" customFormat="false" ht="15" hidden="false" customHeight="true" outlineLevel="0" collapsed="false">
      <c r="A7" s="5" t="s">
        <v>12</v>
      </c>
      <c r="B7" s="6" t="n">
        <v>0</v>
      </c>
      <c r="C7" s="5" t="s">
        <v>7</v>
      </c>
      <c r="D7" s="7" t="s">
        <v>13</v>
      </c>
      <c r="E7" s="1" t="s">
        <v>11</v>
      </c>
    </row>
    <row r="8" customFormat="false" ht="15" hidden="false" customHeight="true" outlineLevel="0" collapsed="false">
      <c r="A8" s="5" t="s">
        <v>14</v>
      </c>
      <c r="B8" s="6" t="n">
        <v>115</v>
      </c>
      <c r="C8" s="5" t="s">
        <v>7</v>
      </c>
      <c r="D8" s="7" t="s">
        <v>15</v>
      </c>
      <c r="E8" s="1" t="s">
        <v>16</v>
      </c>
    </row>
    <row r="9" customFormat="false" ht="15" hidden="false" customHeight="true" outlineLevel="0" collapsed="false">
      <c r="A9" s="5" t="s">
        <v>17</v>
      </c>
      <c r="B9" s="6" t="n">
        <v>0</v>
      </c>
      <c r="C9" s="5" t="s">
        <v>7</v>
      </c>
      <c r="D9" s="7" t="s">
        <v>18</v>
      </c>
    </row>
    <row r="10" customFormat="false" ht="15" hidden="false" customHeight="true" outlineLevel="0" collapsed="false">
      <c r="A10" s="5" t="s">
        <v>19</v>
      </c>
      <c r="B10" s="6" t="n">
        <v>38</v>
      </c>
      <c r="C10" s="5" t="s">
        <v>7</v>
      </c>
      <c r="D10" s="7" t="s">
        <v>20</v>
      </c>
    </row>
    <row r="11" customFormat="false" ht="14.25" hidden="false" customHeight="true" outlineLevel="0" collapsed="false">
      <c r="A11" s="5" t="s">
        <v>21</v>
      </c>
      <c r="B11" s="6" t="n">
        <v>330</v>
      </c>
      <c r="C11" s="5" t="s">
        <v>7</v>
      </c>
      <c r="D11" s="7" t="s">
        <v>22</v>
      </c>
    </row>
    <row r="12" customFormat="false" ht="15" hidden="false" customHeight="true" outlineLevel="0" collapsed="false">
      <c r="A12" s="8" t="s">
        <v>23</v>
      </c>
      <c r="B12" s="9" t="n">
        <f aca="false">SUM(B5:B11)</f>
        <v>853</v>
      </c>
      <c r="C12" s="10"/>
      <c r="D12" s="10"/>
    </row>
    <row r="13" customFormat="false" ht="15" hidden="false" customHeight="true" outlineLevel="0" collapsed="false"/>
    <row r="14" customFormat="false" ht="15" hidden="false" customHeight="true" outlineLevel="0" collapsed="false">
      <c r="A14" s="11" t="s">
        <v>24</v>
      </c>
    </row>
    <row r="15" customFormat="false" ht="15" hidden="false" customHeight="true" outlineLevel="0" collapsed="false">
      <c r="A15" s="5" t="s">
        <v>25</v>
      </c>
      <c r="B15" s="6" t="n">
        <v>7</v>
      </c>
      <c r="C15" s="5" t="s">
        <v>26</v>
      </c>
      <c r="D15" s="7" t="s">
        <v>27</v>
      </c>
    </row>
    <row r="16" customFormat="false" ht="15" hidden="false" customHeight="true" outlineLevel="0" collapsed="false">
      <c r="A16" s="5" t="s">
        <v>28</v>
      </c>
      <c r="B16" s="6" t="n">
        <v>5</v>
      </c>
      <c r="C16" s="5" t="s">
        <v>26</v>
      </c>
      <c r="D16" s="7" t="s">
        <v>29</v>
      </c>
    </row>
    <row r="17" customFormat="false" ht="15" hidden="false" customHeight="true" outlineLevel="0" collapsed="false">
      <c r="A17" s="5" t="s">
        <v>30</v>
      </c>
      <c r="B17" s="6" t="n">
        <v>4</v>
      </c>
      <c r="C17" s="5" t="s">
        <v>26</v>
      </c>
      <c r="D17" s="7" t="s">
        <v>31</v>
      </c>
    </row>
    <row r="18" customFormat="false" ht="15" hidden="false" customHeight="true" outlineLevel="0" collapsed="false">
      <c r="A18" s="8" t="s">
        <v>32</v>
      </c>
      <c r="B18" s="9" t="n">
        <f aca="false">SUM(B15:B17)</f>
        <v>16</v>
      </c>
      <c r="C18" s="10"/>
      <c r="D18" s="10"/>
    </row>
    <row r="19" customFormat="false" ht="14.25" hidden="false" customHeight="true" outlineLevel="0" collapsed="false"/>
    <row r="20" customFormat="false" ht="15" hidden="false" customHeight="true" outlineLevel="0" collapsed="false">
      <c r="A20" s="11" t="s">
        <v>33</v>
      </c>
    </row>
    <row r="21" customFormat="false" ht="15" hidden="false" customHeight="true" outlineLevel="0" collapsed="false">
      <c r="A21" s="4" t="s">
        <v>2</v>
      </c>
      <c r="B21" s="4" t="s">
        <v>3</v>
      </c>
      <c r="C21" s="4" t="s">
        <v>4</v>
      </c>
      <c r="D21" s="4" t="s">
        <v>5</v>
      </c>
    </row>
    <row r="22" customFormat="false" ht="14.25" hidden="false" customHeight="true" outlineLevel="0" collapsed="false">
      <c r="A22" s="5" t="s">
        <v>34</v>
      </c>
      <c r="B22" s="6" t="n">
        <v>96</v>
      </c>
      <c r="C22" s="5" t="s">
        <v>35</v>
      </c>
      <c r="D22" s="7" t="s">
        <v>36</v>
      </c>
    </row>
    <row r="23" customFormat="false" ht="15" hidden="false" customHeight="true" outlineLevel="0" collapsed="false">
      <c r="A23" s="8" t="s">
        <v>37</v>
      </c>
      <c r="B23" s="9" t="n">
        <f aca="false">SUM(B22:B22)</f>
        <v>96</v>
      </c>
      <c r="C23" s="10"/>
      <c r="D23" s="10"/>
    </row>
    <row r="24" customFormat="false" ht="15" hidden="false" customHeight="true" outlineLevel="0" collapsed="false">
      <c r="A24" s="12" t="s">
        <v>38</v>
      </c>
      <c r="B24" s="13" t="n">
        <f aca="false">B12+B22</f>
        <v>949</v>
      </c>
      <c r="C24" s="14"/>
      <c r="D24" s="14"/>
    </row>
    <row r="26" customFormat="false" ht="14.25" hidden="false" customHeight="true" outlineLevel="0" collapsed="false">
      <c r="A26" s="3" t="s">
        <v>39</v>
      </c>
    </row>
    <row r="27" customFormat="false" ht="14.25" hidden="false" customHeight="true" outlineLevel="0" collapsed="false"/>
    <row r="29" customFormat="false" ht="14.25" hidden="false" customHeight="true" outlineLevel="0" collapsed="false">
      <c r="A29" s="11" t="s">
        <v>40</v>
      </c>
    </row>
    <row r="30" customFormat="false" ht="14.25" hidden="false" customHeight="true" outlineLevel="0" collapsed="false">
      <c r="A30" s="15" t="s">
        <v>2</v>
      </c>
      <c r="B30" s="15" t="s">
        <v>3</v>
      </c>
      <c r="C30" s="15" t="s">
        <v>4</v>
      </c>
      <c r="D30" s="15" t="s">
        <v>5</v>
      </c>
      <c r="E30" s="15" t="s">
        <v>41</v>
      </c>
    </row>
    <row r="31" customFormat="false" ht="15" hidden="false" customHeight="true" outlineLevel="0" collapsed="false">
      <c r="A31" s="16" t="s">
        <v>42</v>
      </c>
      <c r="B31" s="17" t="n">
        <v>13</v>
      </c>
      <c r="C31" s="18"/>
      <c r="D31" s="3"/>
      <c r="E31" s="1" t="n">
        <v>25</v>
      </c>
      <c r="F31" s="1" t="n">
        <f aca="false">B31/E31</f>
        <v>0.52</v>
      </c>
      <c r="G31" s="1" t="s">
        <v>43</v>
      </c>
    </row>
    <row r="32" customFormat="false" ht="15" hidden="false" customHeight="true" outlineLevel="0" collapsed="false">
      <c r="A32" s="16" t="s">
        <v>44</v>
      </c>
      <c r="B32" s="17" t="n">
        <v>8</v>
      </c>
      <c r="C32" s="18" t="s">
        <v>45</v>
      </c>
      <c r="D32" s="3" t="s">
        <v>46</v>
      </c>
      <c r="E32" s="1" t="n">
        <v>10</v>
      </c>
      <c r="F32" s="1" t="n">
        <f aca="false">B32/E32</f>
        <v>0.8</v>
      </c>
      <c r="G32" s="1" t="s">
        <v>43</v>
      </c>
    </row>
    <row r="33" customFormat="false" ht="15" hidden="false" customHeight="true" outlineLevel="0" collapsed="false">
      <c r="A33" s="16" t="s">
        <v>47</v>
      </c>
      <c r="B33" s="17" t="n">
        <v>5.85</v>
      </c>
      <c r="C33" s="18" t="s">
        <v>45</v>
      </c>
      <c r="D33" s="3" t="s">
        <v>48</v>
      </c>
      <c r="E33" s="1" t="n">
        <v>10</v>
      </c>
      <c r="F33" s="1" t="n">
        <f aca="false">B33/E33</f>
        <v>0.585</v>
      </c>
      <c r="G33" s="1" t="s">
        <v>43</v>
      </c>
    </row>
    <row r="34" customFormat="false" ht="14.25" hidden="false" customHeight="true" outlineLevel="0" collapsed="false">
      <c r="A34" s="19" t="s">
        <v>49</v>
      </c>
      <c r="B34" s="17" t="n">
        <v>6</v>
      </c>
      <c r="C34" s="18"/>
      <c r="D34" s="3"/>
      <c r="E34" s="1" t="n">
        <v>25</v>
      </c>
      <c r="F34" s="1" t="n">
        <f aca="false">B34/E34</f>
        <v>0.24</v>
      </c>
      <c r="G34" s="1" t="s">
        <v>50</v>
      </c>
    </row>
    <row r="35" customFormat="false" ht="14.25" hidden="false" customHeight="true" outlineLevel="0" collapsed="false">
      <c r="A35" s="19" t="s">
        <v>51</v>
      </c>
      <c r="B35" s="17" t="n">
        <v>7.37</v>
      </c>
      <c r="C35" s="18"/>
      <c r="D35" s="3"/>
      <c r="E35" s="1" t="n">
        <v>50</v>
      </c>
      <c r="F35" s="1" t="n">
        <f aca="false">B35/E35</f>
        <v>0.1474</v>
      </c>
      <c r="G35" s="1" t="s">
        <v>50</v>
      </c>
    </row>
    <row r="36" customFormat="false" ht="14.25" hidden="false" customHeight="true" outlineLevel="0" collapsed="false">
      <c r="A36" s="19" t="s">
        <v>52</v>
      </c>
      <c r="B36" s="17" t="n">
        <v>6</v>
      </c>
      <c r="C36" s="18"/>
      <c r="D36" s="3"/>
      <c r="E36" s="1" t="n">
        <v>25</v>
      </c>
      <c r="F36" s="1" t="n">
        <f aca="false">B36/E36</f>
        <v>0.24</v>
      </c>
      <c r="G36" s="1" t="s">
        <v>50</v>
      </c>
    </row>
    <row r="37" customFormat="false" ht="14.25" hidden="false" customHeight="true" outlineLevel="0" collapsed="false">
      <c r="A37" s="19" t="s">
        <v>53</v>
      </c>
      <c r="B37" s="17" t="n">
        <v>9</v>
      </c>
      <c r="C37" s="18"/>
      <c r="D37" s="3"/>
      <c r="E37" s="1" t="n">
        <v>100</v>
      </c>
      <c r="F37" s="1" t="n">
        <f aca="false">B37/E37</f>
        <v>0.09</v>
      </c>
      <c r="G37" s="1" t="s">
        <v>50</v>
      </c>
    </row>
    <row r="38" customFormat="false" ht="14.25" hidden="false" customHeight="true" outlineLevel="0" collapsed="false">
      <c r="A38" s="19" t="s">
        <v>54</v>
      </c>
      <c r="B38" s="17" t="n">
        <v>5</v>
      </c>
      <c r="C38" s="18"/>
      <c r="D38" s="3"/>
      <c r="E38" s="1" t="n">
        <v>40</v>
      </c>
      <c r="F38" s="1" t="n">
        <f aca="false">B38/E38</f>
        <v>0.125</v>
      </c>
      <c r="G38" s="1" t="s">
        <v>50</v>
      </c>
    </row>
    <row r="39" customFormat="false" ht="14.25" hidden="false" customHeight="true" outlineLevel="0" collapsed="false">
      <c r="A39" s="19" t="s">
        <v>55</v>
      </c>
      <c r="B39" s="17" t="n">
        <v>6.09</v>
      </c>
      <c r="C39" s="18"/>
      <c r="D39" s="3"/>
      <c r="E39" s="1" t="n">
        <v>10</v>
      </c>
      <c r="F39" s="1" t="n">
        <f aca="false">B39/E39</f>
        <v>0.609</v>
      </c>
      <c r="G39" s="1" t="s">
        <v>50</v>
      </c>
    </row>
    <row r="40" customFormat="false" ht="14.25" hidden="false" customHeight="true" outlineLevel="0" collapsed="false">
      <c r="A40" s="19" t="s">
        <v>56</v>
      </c>
      <c r="B40" s="17" t="n">
        <v>10</v>
      </c>
      <c r="C40" s="18"/>
      <c r="D40" s="3"/>
      <c r="E40" s="1" t="n">
        <v>50</v>
      </c>
      <c r="F40" s="1" t="n">
        <f aca="false">B40/E40</f>
        <v>0.2</v>
      </c>
      <c r="G40" s="1" t="s">
        <v>50</v>
      </c>
    </row>
    <row r="41" customFormat="false" ht="14.25" hidden="false" customHeight="true" outlineLevel="0" collapsed="false">
      <c r="A41" s="1" t="s">
        <v>57</v>
      </c>
      <c r="B41" s="17" t="n">
        <v>13</v>
      </c>
      <c r="C41" s="18"/>
      <c r="D41" s="3"/>
      <c r="E41" s="1" t="n">
        <v>20</v>
      </c>
      <c r="F41" s="1" t="n">
        <f aca="false">(B41+I41)/E41</f>
        <v>0.85</v>
      </c>
      <c r="G41" s="1" t="s">
        <v>58</v>
      </c>
      <c r="H41" s="1" t="s">
        <v>59</v>
      </c>
      <c r="I41" s="1" t="n">
        <v>4</v>
      </c>
    </row>
    <row r="42" customFormat="false" ht="14.25" hidden="false" customHeight="true" outlineLevel="0" collapsed="false">
      <c r="A42" s="1" t="s">
        <v>60</v>
      </c>
      <c r="B42" s="17" t="n">
        <v>13</v>
      </c>
      <c r="C42" s="18"/>
      <c r="D42" s="3"/>
      <c r="E42" s="1" t="n">
        <v>20</v>
      </c>
      <c r="F42" s="1" t="n">
        <f aca="false">(B42+I42)/E42</f>
        <v>0.85</v>
      </c>
      <c r="G42" s="1" t="s">
        <v>58</v>
      </c>
      <c r="H42" s="1" t="s">
        <v>59</v>
      </c>
      <c r="I42" s="1" t="n">
        <v>4</v>
      </c>
    </row>
    <row r="43" customFormat="false" ht="14.25" hidden="false" customHeight="true" outlineLevel="0" collapsed="false">
      <c r="A43" s="20" t="s">
        <v>61</v>
      </c>
      <c r="B43" s="21" t="n">
        <f aca="false">SUM(B31:B42)</f>
        <v>102.31</v>
      </c>
    </row>
    <row r="45" customFormat="false" ht="15" hidden="false" customHeight="true" outlineLevel="0" collapsed="false">
      <c r="A45" s="22" t="s">
        <v>62</v>
      </c>
      <c r="B45" s="23" t="n">
        <f aca="false">B12+B43</f>
        <v>955.31</v>
      </c>
    </row>
    <row r="46" customFormat="false" ht="14.25" hidden="false" customHeight="true" outlineLevel="0" collapsed="false">
      <c r="A46" s="24" t="s">
        <v>63</v>
      </c>
      <c r="B46" s="24"/>
      <c r="C46" s="24"/>
      <c r="D46" s="24"/>
    </row>
    <row r="48" customFormat="false" ht="15" hidden="false" customHeight="true" outlineLevel="0" collapsed="false">
      <c r="A48" s="25" t="s">
        <v>64</v>
      </c>
    </row>
    <row r="49" customFormat="false" ht="14.25" hidden="false" customHeight="true" outlineLevel="0" collapsed="false">
      <c r="A49" s="24" t="s">
        <v>65</v>
      </c>
      <c r="B49" s="24"/>
      <c r="C49" s="24"/>
      <c r="D49" s="24"/>
    </row>
    <row r="51" customFormat="false" ht="14.25" hidden="false" customHeight="true" outlineLevel="0" collapsed="false">
      <c r="A51" s="18" t="s">
        <v>66</v>
      </c>
      <c r="B51" s="26" t="n">
        <f aca="false">'Ebay costs'!B5</f>
        <v>5</v>
      </c>
      <c r="D51" s="3" t="s">
        <v>67</v>
      </c>
    </row>
    <row r="52" customFormat="false" ht="14.25" hidden="false" customHeight="true" outlineLevel="0" collapsed="false">
      <c r="A52" s="18" t="s">
        <v>68</v>
      </c>
      <c r="B52" s="26" t="n">
        <f aca="false">'Ebay costs'!B15</f>
        <v>1.392</v>
      </c>
      <c r="D52" s="3" t="s">
        <v>69</v>
      </c>
    </row>
    <row r="53" customFormat="false" ht="14.25" hidden="false" customHeight="true" outlineLevel="0" collapsed="false">
      <c r="A53" s="18" t="s">
        <v>70</v>
      </c>
      <c r="B53" s="26" t="n">
        <f aca="false">'Bin Stickers 100x140 4pk'!B120</f>
        <v>2.73366615079365</v>
      </c>
      <c r="D53" s="3" t="s">
        <v>71</v>
      </c>
    </row>
    <row r="54" customFormat="false" ht="14.25" hidden="false" customHeight="true" outlineLevel="0" collapsed="false">
      <c r="A54" s="27" t="s">
        <v>72</v>
      </c>
      <c r="B54" s="28" t="n">
        <f aca="false">B51-B52-B53</f>
        <v>0.874333849206349</v>
      </c>
    </row>
    <row r="55" customFormat="false" ht="14.25" hidden="false" customHeight="true" outlineLevel="0" collapsed="false"/>
    <row r="56" customFormat="false" ht="14.25" hidden="false" customHeight="true" outlineLevel="0" collapsed="false">
      <c r="A56" s="18" t="s">
        <v>73</v>
      </c>
      <c r="B56" s="29" t="n">
        <f aca="false">B45</f>
        <v>955.31</v>
      </c>
    </row>
    <row r="57" customFormat="false" ht="14.25" hidden="false" customHeight="true" outlineLevel="0" collapsed="false">
      <c r="A57" s="20" t="s">
        <v>74</v>
      </c>
      <c r="B57" s="30" t="n">
        <f aca="false">IF(B54&gt;0,B56/B54,"N/A")</f>
        <v>1092.61468129955</v>
      </c>
    </row>
    <row r="58" customFormat="false" ht="14.25" hidden="false" customHeight="true" outlineLevel="0" collapsed="false">
      <c r="A58" s="20" t="s">
        <v>75</v>
      </c>
      <c r="B58" s="30" t="n">
        <f aca="false">IF(ISNUMBER(B57),B57*'Bin Stickers 100x140 4pk'!B7,"N/A")</f>
        <v>4370.45872519818</v>
      </c>
    </row>
    <row r="59" customFormat="false" ht="14.25" hidden="false" customHeight="true" outlineLevel="0" collapsed="false"/>
    <row r="60" customFormat="false" ht="14.25" hidden="false" customHeight="true" outlineLevel="0" collapsed="false">
      <c r="A60" s="18" t="s">
        <v>76</v>
      </c>
      <c r="B60" s="26" t="n">
        <f aca="false">'Recurring Overhead'!B12</f>
        <v>83.2233333333333</v>
      </c>
      <c r="D60" s="3" t="s">
        <v>77</v>
      </c>
    </row>
    <row r="61" customFormat="false" ht="14.25" hidden="false" customHeight="true" outlineLevel="0" collapsed="false">
      <c r="A61" s="20" t="s">
        <v>78</v>
      </c>
      <c r="B61" s="30" t="n">
        <f aca="false">IF(B54&gt;0,B60/B54,"N/A")</f>
        <v>95.1848466222334</v>
      </c>
    </row>
    <row r="62" customFormat="false" ht="14.25" hidden="false" customHeight="true" outlineLevel="0" collapsed="false">
      <c r="A62" s="20" t="s">
        <v>79</v>
      </c>
      <c r="B62" s="30" t="n">
        <f aca="false">IF(ISNUMBER(B61),B61*'Bin Stickers 100x140 4pk'!B7,"N/A")</f>
        <v>380.739386488934</v>
      </c>
    </row>
    <row r="63" customFormat="false" ht="14.25" hidden="false" customHeight="true" outlineLevel="0" collapsed="false">
      <c r="A63" s="18" t="s">
        <v>80</v>
      </c>
      <c r="B63" s="31" t="n">
        <f aca="false">'Recurring Overhead'!B33</f>
        <v>10</v>
      </c>
      <c r="D63" s="3" t="s">
        <v>81</v>
      </c>
    </row>
    <row r="64" customFormat="false" ht="14.25" hidden="false" customHeight="true" outlineLevel="0" collapsed="false">
      <c r="A64" s="27" t="s">
        <v>82</v>
      </c>
      <c r="B64" s="28" t="n">
        <f aca="false">(B63/'Bin Stickers 100x140 4pk'!B7)*B54-B60</f>
        <v>-81.0374987103175</v>
      </c>
    </row>
    <row r="66" customFormat="false" ht="14.25" hidden="false" customHeight="true" outlineLevel="0" collapsed="false">
      <c r="A66" s="24" t="s">
        <v>83</v>
      </c>
      <c r="B66" s="24"/>
      <c r="C66" s="24"/>
      <c r="D66" s="24"/>
    </row>
  </sheetData>
  <mergeCells count="3">
    <mergeCell ref="A46:D46"/>
    <mergeCell ref="A49:D49"/>
    <mergeCell ref="A66:D66"/>
  </mergeCells>
  <hyperlinks>
    <hyperlink ref="A34" r:id="rId1" display="Brown Kraft Card, A4 Card 250GSM Thick Kraft Card Stock for Cards Making, Scrapbook, Office Printing and Arts or Crafts DIY (25 Sheets)"/>
    <hyperlink ref="A35" r:id="rId2" display="Double Dragon 50-Pack A6 C6 Manilla Hard Board Backed Envelopes | 162mm x 114mm | 'Please Do Not Bend' Printed | Padded &amp; Tamper-Proof | Self-Seal Closure"/>
    <hyperlink ref="A36" r:id="rId3" display="White Card, A4 Card 250GSM Thick Card Stock for Cards Making, Scrapbook, Office Printing and Arts or Crafts DIY (25 Sheets)"/>
    <hyperlink ref="A37" r:id="rId4" display="SmithPackaging A4 Self Adhesive Address Labels, 1 Label Per Sheet, 100 Sheets, 199.6 x 289.1mm, 100 Labels"/>
    <hyperlink ref="A38" r:id="rId5" display="40 Sheets of Acid Free Tissue Paper Cool White MG 17gsm Clothing Storage Gift Wrapping Decorative Sketch and Cutting Large Tissue Paper for Art Craft and Packing - 500mm x 750mm"/>
    <hyperlink ref="A39" r:id="rId6" display="Triplast White Bubble Padded Envelopes - Pick Qty &amp; Size: 10 x 1/A (100x165mm) A6 Envelopes - Large Letter Postal Bags with Bubble Wrap Lining and Peel &amp; Seal Strip for Royal Mail Shipping &amp; Postage"/>
    <hyperlink ref="A40" r:id="rId7" display="AKAR White A6/C6 Large Letter Postal Box - 112x163x20 mm - Letterbox Pip Royal Mail Small Boxes for Posting [Pack of 5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90" activePane="bottomLeft" state="frozen"/>
      <selection pane="topLeft" activeCell="A1" activeCellId="0" sqref="A1"/>
      <selection pane="bottomLeft" activeCell="B120" activeCellId="0" sqref="B120"/>
    </sheetView>
  </sheetViews>
  <sheetFormatPr defaultColWidth="8.66796875" defaultRowHeight="15" zeroHeight="false" outlineLevelRow="0" outlineLevelCol="0"/>
  <cols>
    <col collapsed="false" customWidth="true" hidden="false" outlineLevel="0" max="1" min="1" style="1" width="82"/>
    <col collapsed="false" customWidth="true" hidden="false" outlineLevel="0" max="2" min="2" style="1" width="18"/>
    <col collapsed="false" customWidth="true" hidden="false" outlineLevel="0" max="3" min="3" style="1" width="60"/>
  </cols>
  <sheetData>
    <row r="1" customFormat="false" ht="17.25" hidden="false" customHeight="true" outlineLevel="0" collapsed="false">
      <c r="A1" s="32" t="s">
        <v>84</v>
      </c>
    </row>
    <row r="2" customFormat="false" ht="14.25" hidden="false" customHeight="true" outlineLevel="0" collapsed="false">
      <c r="A2" s="33" t="s">
        <v>85</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89</v>
      </c>
      <c r="C6" s="33" t="s">
        <v>90</v>
      </c>
    </row>
    <row r="7" customFormat="false" ht="14.25" hidden="false" customHeight="true" outlineLevel="0" collapsed="false">
      <c r="A7" s="1" t="s">
        <v>91</v>
      </c>
      <c r="B7" s="36" t="n">
        <v>4</v>
      </c>
      <c r="C7" s="33" t="s">
        <v>92</v>
      </c>
    </row>
    <row r="8" customFormat="false" ht="14.25" hidden="false" customHeight="true" outlineLevel="0" collapsed="false">
      <c r="A8" s="1" t="s">
        <v>93</v>
      </c>
      <c r="B8" s="36" t="n">
        <v>1</v>
      </c>
      <c r="C8" s="33" t="s">
        <v>94</v>
      </c>
    </row>
    <row r="10" customFormat="false" ht="19.5" hidden="false" customHeight="true" outlineLevel="0" collapsed="false">
      <c r="A10" s="37" t="s">
        <v>95</v>
      </c>
      <c r="B10" s="37"/>
      <c r="C10" s="37"/>
    </row>
    <row r="11" customFormat="false" ht="14.25" hidden="false" customHeight="true" outlineLevel="0" collapsed="false">
      <c r="A11" s="34" t="s">
        <v>96</v>
      </c>
    </row>
    <row r="12" customFormat="false" ht="14.25" hidden="false" customHeight="true" outlineLevel="0" collapsed="false">
      <c r="A12" s="35" t="s">
        <v>2</v>
      </c>
      <c r="B12" s="35" t="s">
        <v>97</v>
      </c>
      <c r="C12" s="35" t="s">
        <v>5</v>
      </c>
    </row>
    <row r="13" customFormat="false" ht="14.25" hidden="false" customHeight="true" outlineLevel="0" collapsed="false">
      <c r="A13" s="1" t="s">
        <v>98</v>
      </c>
      <c r="B13" s="38" t="n">
        <v>0.35</v>
      </c>
      <c r="C13" s="33" t="s">
        <v>99</v>
      </c>
    </row>
    <row r="14" customFormat="false" ht="14.25" hidden="false" customHeight="true" outlineLevel="0" collapsed="false">
      <c r="A14" s="1" t="s">
        <v>100</v>
      </c>
      <c r="B14" s="38" t="n">
        <v>0.35</v>
      </c>
      <c r="C14" s="33" t="s">
        <v>101</v>
      </c>
    </row>
    <row r="15" customFormat="false" ht="14.25" hidden="false" customHeight="true" outlineLevel="0" collapsed="false">
      <c r="A15" s="1" t="s">
        <v>102</v>
      </c>
      <c r="B15" s="38" t="n">
        <v>0.1</v>
      </c>
      <c r="C15" s="33" t="s">
        <v>103</v>
      </c>
    </row>
    <row r="16" customFormat="false" ht="14.25" hidden="false" customHeight="true" outlineLevel="0" collapsed="false">
      <c r="A16" s="1" t="s">
        <v>104</v>
      </c>
      <c r="B16" s="39" t="n">
        <f aca="false">SUM(B13:B15)</f>
        <v>0.8</v>
      </c>
    </row>
    <row r="17" customFormat="false" ht="14.25" hidden="false" customHeight="true" outlineLevel="0" collapsed="false">
      <c r="A17" s="1" t="s">
        <v>105</v>
      </c>
      <c r="B17" s="40" t="n">
        <f aca="false">B8</f>
        <v>1</v>
      </c>
    </row>
    <row r="18" customFormat="false" ht="14.25" hidden="false" customHeight="true" outlineLevel="0" collapsed="false">
      <c r="A18" s="1" t="s">
        <v>106</v>
      </c>
      <c r="B18" s="39" t="n">
        <f aca="false">B16*B17</f>
        <v>0.8</v>
      </c>
    </row>
    <row r="20" customFormat="false" ht="15" hidden="false" customHeight="true" outlineLevel="0" collapsed="false">
      <c r="A20" s="34" t="s">
        <v>107</v>
      </c>
    </row>
    <row r="21" customFormat="false" ht="14.25" hidden="false" customHeight="true" outlineLevel="0" collapsed="false">
      <c r="A21" s="35" t="s">
        <v>2</v>
      </c>
      <c r="B21" s="35" t="s">
        <v>87</v>
      </c>
      <c r="C21" s="35" t="s">
        <v>5</v>
      </c>
    </row>
    <row r="22" customFormat="false" ht="14.25" hidden="false" customHeight="true" outlineLevel="0" collapsed="false">
      <c r="A22" s="41" t="s">
        <v>108</v>
      </c>
      <c r="B22" s="42" t="s">
        <v>109</v>
      </c>
      <c r="C22" s="43" t="s">
        <v>110</v>
      </c>
    </row>
    <row r="23" customFormat="false" ht="14.25" hidden="false" customHeight="true" outlineLevel="0" collapsed="false">
      <c r="A23" s="41" t="s">
        <v>111</v>
      </c>
      <c r="B23" s="44" t="n">
        <f aca="false">B8</f>
        <v>1</v>
      </c>
      <c r="C23" s="43" t="s">
        <v>112</v>
      </c>
    </row>
    <row r="24" customFormat="false" ht="14.25" hidden="false" customHeight="true" outlineLevel="0" collapsed="false">
      <c r="A24" s="41" t="s">
        <v>113</v>
      </c>
      <c r="B24" s="45" t="str">
        <f aca="false">'Cricut Costs'!B24</f>
        <v>StandardGrip 12x12</v>
      </c>
      <c r="C24" s="43" t="s">
        <v>114</v>
      </c>
    </row>
    <row r="25" customFormat="false" ht="14.25" hidden="false" customHeight="true" outlineLevel="0" collapsed="false">
      <c r="A25" s="41" t="s">
        <v>115</v>
      </c>
      <c r="B25" s="46" t="n">
        <f aca="false">'Cricut Costs'!E24</f>
        <v>0.0703703703703704</v>
      </c>
      <c r="C25" s="43"/>
    </row>
    <row r="26" customFormat="false" ht="14.25" hidden="false" customHeight="true" outlineLevel="0" collapsed="false">
      <c r="A26" s="41" t="s">
        <v>116</v>
      </c>
      <c r="B26" s="47" t="str">
        <f aca="false">'Cricut Costs'!C24</f>
        <v>Fine-point (Premium)</v>
      </c>
      <c r="C26" s="43"/>
    </row>
    <row r="27" customFormat="false" ht="14.25" hidden="false" customHeight="true" outlineLevel="0" collapsed="false">
      <c r="A27" s="41" t="s">
        <v>117</v>
      </c>
      <c r="B27" s="46" t="n">
        <f aca="false">'Cricut Costs'!F24</f>
        <v>0.0225</v>
      </c>
      <c r="C27" s="43"/>
    </row>
    <row r="28" customFormat="false" ht="14.25" hidden="false" customHeight="true" outlineLevel="0" collapsed="false">
      <c r="A28" s="48" t="s">
        <v>118</v>
      </c>
      <c r="B28" s="46" t="n">
        <f aca="false">'Cricut Costs'!G24</f>
        <v>0.0928703703703704</v>
      </c>
      <c r="C28" s="43"/>
    </row>
    <row r="29" customFormat="false" ht="14.25" hidden="false" customHeight="true" outlineLevel="0" collapsed="false">
      <c r="A29" s="49" t="s">
        <v>119</v>
      </c>
      <c r="B29" s="50" t="n">
        <f aca="false">IF(B22="Y",B28*B23,0)</f>
        <v>0</v>
      </c>
      <c r="C29" s="43" t="s">
        <v>120</v>
      </c>
    </row>
    <row r="30" customFormat="false" ht="57" hidden="false" customHeight="true" outlineLevel="0" collapsed="false">
      <c r="A30" s="51" t="s">
        <v>121</v>
      </c>
      <c r="B30" s="52" t="s">
        <v>122</v>
      </c>
      <c r="C30" s="43" t="s">
        <v>123</v>
      </c>
    </row>
    <row r="31" customFormat="false" ht="28.5" hidden="false" customHeight="true" outlineLevel="0" collapsed="false">
      <c r="A31" s="51" t="s">
        <v>124</v>
      </c>
      <c r="B31" s="53" t="n">
        <f aca="false">IF(B30="Y",'Cricut Costs'!G25*B8,0)</f>
        <v>0.289166666666667</v>
      </c>
      <c r="C31" s="43" t="s">
        <v>125</v>
      </c>
    </row>
    <row r="32" customFormat="false" ht="15" hidden="false" customHeight="true" outlineLevel="0" collapsed="false">
      <c r="A32" s="54" t="s">
        <v>126</v>
      </c>
      <c r="B32" s="55" t="n">
        <f aca="false">B29+B31</f>
        <v>0.289166666666667</v>
      </c>
      <c r="C32" s="43"/>
    </row>
    <row r="34" customFormat="false" ht="15" hidden="false" customHeight="true" outlineLevel="0" collapsed="false">
      <c r="A34" s="34" t="s">
        <v>127</v>
      </c>
    </row>
    <row r="35" customFormat="false" ht="15" hidden="false" customHeight="true" outlineLevel="0" collapsed="false">
      <c r="A35" s="35" t="s">
        <v>2</v>
      </c>
      <c r="B35" s="35" t="s">
        <v>87</v>
      </c>
      <c r="C35" s="35" t="s">
        <v>5</v>
      </c>
    </row>
    <row r="36" customFormat="false" ht="28.5" hidden="false" customHeight="true" outlineLevel="0" collapsed="false">
      <c r="A36" s="51" t="s">
        <v>128</v>
      </c>
      <c r="B36" s="56" t="n">
        <f aca="false">B83</f>
        <v>0.0899</v>
      </c>
      <c r="C36" s="43" t="s">
        <v>129</v>
      </c>
    </row>
    <row r="37" customFormat="false" ht="28.5" hidden="false" customHeight="true" outlineLevel="0" collapsed="false">
      <c r="A37" s="51" t="s">
        <v>130</v>
      </c>
      <c r="B37" s="56" t="n">
        <f aca="false">B15</f>
        <v>0.1</v>
      </c>
      <c r="C37" s="43" t="s">
        <v>131</v>
      </c>
    </row>
    <row r="38" customFormat="false" ht="28.5" hidden="false" customHeight="true" outlineLevel="0" collapsed="false">
      <c r="A38" s="51" t="s">
        <v>132</v>
      </c>
      <c r="B38" s="45" t="n">
        <f aca="false">'Cricut Costs'!G27</f>
        <v>0.0928703703703704</v>
      </c>
      <c r="C38" s="43" t="s">
        <v>133</v>
      </c>
    </row>
    <row r="39" customFormat="false" ht="15" hidden="false" customHeight="true" outlineLevel="0" collapsed="false">
      <c r="A39" s="51" t="s">
        <v>134</v>
      </c>
      <c r="B39" s="57" t="n">
        <f aca="false">B36+B37+B38</f>
        <v>0.28277037037037</v>
      </c>
      <c r="C39" s="43"/>
    </row>
    <row r="40" customFormat="false" ht="15" hidden="false" customHeight="true" outlineLevel="0" collapsed="false">
      <c r="A40" s="51" t="s">
        <v>135</v>
      </c>
      <c r="B40" s="52" t="n">
        <v>35</v>
      </c>
      <c r="C40" s="43" t="s">
        <v>136</v>
      </c>
    </row>
    <row r="41" customFormat="false" ht="15" hidden="false" customHeight="true" outlineLevel="0" collapsed="false">
      <c r="A41" s="51" t="s">
        <v>137</v>
      </c>
      <c r="B41" s="57" t="n">
        <f aca="false">B39/B40</f>
        <v>0.00807915343915344</v>
      </c>
      <c r="C41" s="43"/>
    </row>
    <row r="42" customFormat="false" ht="15" hidden="false" customHeight="true" outlineLevel="0" collapsed="false">
      <c r="A42" s="51" t="s">
        <v>138</v>
      </c>
      <c r="B42" s="56" t="n">
        <f aca="false">B7</f>
        <v>4</v>
      </c>
      <c r="C42" s="43" t="s">
        <v>139</v>
      </c>
    </row>
    <row r="43" customFormat="false" ht="15" hidden="false" customHeight="true" outlineLevel="0" collapsed="false">
      <c r="A43" s="51" t="s">
        <v>140</v>
      </c>
      <c r="B43" s="57" t="n">
        <f aca="false">B41*B42</f>
        <v>0.0323166137566138</v>
      </c>
      <c r="C43" s="43"/>
    </row>
    <row r="45" customFormat="false" ht="15" hidden="false" customHeight="true" outlineLevel="0" collapsed="false">
      <c r="A45" s="58" t="s">
        <v>141</v>
      </c>
      <c r="B45" s="59" t="n">
        <f aca="false">B18+B32+B43</f>
        <v>1.12148328042328</v>
      </c>
      <c r="C45" s="60" t="s">
        <v>142</v>
      </c>
    </row>
    <row r="47" customFormat="false" ht="19.5" hidden="false" customHeight="true" outlineLevel="0" collapsed="false">
      <c r="A47" s="37" t="s">
        <v>143</v>
      </c>
      <c r="B47" s="37"/>
      <c r="C47" s="37"/>
    </row>
    <row r="48" customFormat="false" ht="14.25" hidden="false" customHeight="true" outlineLevel="0" collapsed="false">
      <c r="A48" s="34" t="s">
        <v>144</v>
      </c>
      <c r="B48" s="61"/>
      <c r="C48" s="61"/>
    </row>
    <row r="49" customFormat="false" ht="14.25" hidden="false" customHeight="true" outlineLevel="0" collapsed="false">
      <c r="A49" s="35" t="s">
        <v>145</v>
      </c>
      <c r="B49" s="62" t="s">
        <v>146</v>
      </c>
      <c r="C49" s="35" t="s">
        <v>5</v>
      </c>
    </row>
    <row r="50" customFormat="false" ht="54.75" hidden="false" customHeight="true" outlineLevel="0" collapsed="false">
      <c r="A50" s="61" t="s">
        <v>147</v>
      </c>
      <c r="B50" s="38" t="n">
        <v>0.08</v>
      </c>
      <c r="C50" s="43" t="s">
        <v>148</v>
      </c>
    </row>
    <row r="51" customFormat="false" ht="41.25" hidden="false" customHeight="true" outlineLevel="0" collapsed="false">
      <c r="A51" s="61" t="s">
        <v>149</v>
      </c>
      <c r="B51" s="38" t="n">
        <v>0.15</v>
      </c>
      <c r="C51" s="43" t="s">
        <v>150</v>
      </c>
    </row>
    <row r="52" customFormat="false" ht="54.75" hidden="false" customHeight="true" outlineLevel="0" collapsed="false">
      <c r="A52" s="61" t="s">
        <v>151</v>
      </c>
      <c r="B52" s="38" t="n">
        <v>0.15</v>
      </c>
      <c r="C52" s="43" t="s">
        <v>152</v>
      </c>
    </row>
    <row r="53" customFormat="false" ht="14.25" hidden="false" customHeight="true" outlineLevel="0" collapsed="false">
      <c r="A53" s="61" t="s">
        <v>153</v>
      </c>
      <c r="B53" s="38" t="n">
        <v>0.14</v>
      </c>
      <c r="C53" s="43" t="s">
        <v>154</v>
      </c>
    </row>
    <row r="54" customFormat="false" ht="54.75" hidden="false" customHeight="true" outlineLevel="0" collapsed="false">
      <c r="A54" s="61" t="s">
        <v>155</v>
      </c>
      <c r="B54" s="38" t="n">
        <v>0.25</v>
      </c>
      <c r="C54" s="43" t="s">
        <v>156</v>
      </c>
    </row>
    <row r="55" customFormat="false" ht="14.25" hidden="false" customHeight="true" outlineLevel="0" collapsed="false">
      <c r="A55" s="61" t="s">
        <v>157</v>
      </c>
      <c r="B55" s="38" t="s">
        <v>155</v>
      </c>
      <c r="C55" s="43" t="s">
        <v>158</v>
      </c>
    </row>
    <row r="56" customFormat="false" ht="14.25" hidden="false" customHeight="true" outlineLevel="0" collapsed="false">
      <c r="A56" s="54" t="s">
        <v>159</v>
      </c>
      <c r="B56" s="55" t="n">
        <f aca="false">INDEX(B50:B54,MATCH(B55,A50:A54,0))</f>
        <v>0.25</v>
      </c>
      <c r="C56" s="61"/>
    </row>
    <row r="57" customFormat="false" ht="42.75" hidden="false" customHeight="true" outlineLevel="0" collapsed="false">
      <c r="A57" s="51" t="s">
        <v>160</v>
      </c>
      <c r="B57" s="63" t="n">
        <f aca="false">'Packing Oct 2026'!B18</f>
        <v>0.0594</v>
      </c>
      <c r="C57" s="43" t="s">
        <v>161</v>
      </c>
    </row>
    <row r="58" customFormat="false" ht="15" hidden="false" customHeight="true" outlineLevel="0" collapsed="false">
      <c r="A58" s="54" t="s">
        <v>162</v>
      </c>
      <c r="B58" s="55" t="n">
        <f aca="false">B56+B57</f>
        <v>0.3094</v>
      </c>
      <c r="C58" s="43"/>
    </row>
    <row r="60" customFormat="false" ht="14.25" hidden="false" customHeight="true" outlineLevel="0" collapsed="false">
      <c r="A60" s="34" t="s">
        <v>163</v>
      </c>
    </row>
    <row r="61" customFormat="false" ht="14.25" hidden="false" customHeight="true" outlineLevel="0" collapsed="false">
      <c r="A61" s="35" t="s">
        <v>2</v>
      </c>
      <c r="B61" s="35" t="s">
        <v>87</v>
      </c>
      <c r="C61" s="35" t="s">
        <v>5</v>
      </c>
    </row>
    <row r="62" customFormat="false" ht="14.25" hidden="false" customHeight="true" outlineLevel="0" collapsed="false">
      <c r="A62" s="51" t="s">
        <v>164</v>
      </c>
      <c r="B62" s="38" t="n">
        <v>8</v>
      </c>
      <c r="C62" s="43" t="s">
        <v>165</v>
      </c>
    </row>
    <row r="63" customFormat="false" ht="14.25" hidden="false" customHeight="true" outlineLevel="0" collapsed="false">
      <c r="A63" s="51" t="s">
        <v>166</v>
      </c>
      <c r="B63" s="52" t="n">
        <v>250</v>
      </c>
    </row>
    <row r="64" customFormat="false" ht="14.25" hidden="false" customHeight="true" outlineLevel="0" collapsed="false">
      <c r="A64" s="51" t="s">
        <v>167</v>
      </c>
      <c r="B64" s="57" t="n">
        <f aca="false">B62/B63</f>
        <v>0.032</v>
      </c>
    </row>
    <row r="65" customFormat="false" ht="28.5" hidden="false" customHeight="true" outlineLevel="0" collapsed="false">
      <c r="A65" s="51" t="s">
        <v>168</v>
      </c>
      <c r="B65" s="52" t="n">
        <v>1</v>
      </c>
      <c r="C65" s="43" t="s">
        <v>169</v>
      </c>
    </row>
    <row r="66" customFormat="false" ht="14.25" hidden="false" customHeight="true" outlineLevel="0" collapsed="false">
      <c r="A66" s="51" t="s">
        <v>170</v>
      </c>
      <c r="B66" s="57" t="n">
        <f aca="false">B64/B65</f>
        <v>0.032</v>
      </c>
    </row>
    <row r="67" customFormat="false" ht="42.75" hidden="false" customHeight="true" outlineLevel="0" collapsed="false">
      <c r="A67" s="51" t="s">
        <v>171</v>
      </c>
      <c r="B67" s="56" t="n">
        <f aca="false">B15</f>
        <v>0.1</v>
      </c>
      <c r="C67" s="43" t="s">
        <v>172</v>
      </c>
    </row>
    <row r="68" customFormat="false" ht="42.75" hidden="false" customHeight="true" outlineLevel="0" collapsed="false">
      <c r="A68" s="51" t="s">
        <v>173</v>
      </c>
      <c r="B68" s="64" t="s">
        <v>122</v>
      </c>
      <c r="C68" s="43" t="s">
        <v>174</v>
      </c>
    </row>
    <row r="69" customFormat="false" ht="57" hidden="false" customHeight="true" outlineLevel="0" collapsed="false">
      <c r="A69" s="51" t="s">
        <v>175</v>
      </c>
      <c r="B69" s="53" t="n">
        <f aca="false">IF(B68="Y",'Cricut Costs'!G26,0)</f>
        <v>0.0928703703703704</v>
      </c>
      <c r="C69" s="43" t="s">
        <v>176</v>
      </c>
    </row>
    <row r="70" customFormat="false" ht="14.25" hidden="false" customHeight="true" outlineLevel="0" collapsed="false">
      <c r="A70" s="51" t="s">
        <v>177</v>
      </c>
      <c r="B70" s="55" t="n">
        <f aca="false">B66+B67+B69</f>
        <v>0.22487037037037</v>
      </c>
    </row>
    <row r="71" customFormat="false" ht="28.5" hidden="false" customHeight="true" outlineLevel="0" collapsed="false">
      <c r="A71" s="51" t="s">
        <v>178</v>
      </c>
      <c r="B71" s="65" t="n">
        <v>4.1</v>
      </c>
      <c r="C71" s="43" t="s">
        <v>179</v>
      </c>
    </row>
    <row r="73" customFormat="false" ht="14.25" hidden="false" customHeight="true" outlineLevel="0" collapsed="false">
      <c r="A73" s="1" t="s">
        <v>180</v>
      </c>
    </row>
    <row r="74" customFormat="false" ht="14.25" hidden="false" customHeight="true" outlineLevel="0" collapsed="false">
      <c r="A74" s="1" t="s">
        <v>2</v>
      </c>
      <c r="B74" s="1" t="s">
        <v>97</v>
      </c>
      <c r="C74" s="1" t="s">
        <v>5</v>
      </c>
    </row>
    <row r="75" customFormat="false" ht="54.75" hidden="false" customHeight="true" outlineLevel="0" collapsed="false">
      <c r="A75" s="1" t="s">
        <v>181</v>
      </c>
      <c r="B75" s="1" t="n">
        <v>0.06</v>
      </c>
      <c r="C75" s="1" t="s">
        <v>182</v>
      </c>
    </row>
    <row r="76" customFormat="false" ht="27.75" hidden="false" customHeight="true" outlineLevel="0" collapsed="false">
      <c r="A76" s="1" t="s">
        <v>183</v>
      </c>
      <c r="B76" s="1" t="n">
        <v>0.1</v>
      </c>
      <c r="C76" s="1" t="s">
        <v>184</v>
      </c>
    </row>
    <row r="77" customFormat="false" ht="27.75" hidden="false" customHeight="true" outlineLevel="0" collapsed="false">
      <c r="A77" s="1" t="s">
        <v>185</v>
      </c>
      <c r="B77" s="1" t="n">
        <f aca="false">SUM(B75:B76)</f>
        <v>0.16</v>
      </c>
    </row>
    <row r="79" customFormat="false" ht="27.75" hidden="false" customHeight="true" outlineLevel="0" collapsed="false">
      <c r="A79" s="34" t="s">
        <v>186</v>
      </c>
    </row>
    <row r="80" customFormat="false" ht="28.5" hidden="false" customHeight="true" outlineLevel="0" collapsed="false">
      <c r="A80" s="35" t="s">
        <v>2</v>
      </c>
      <c r="B80" s="62" t="s">
        <v>97</v>
      </c>
      <c r="C80" s="35" t="s">
        <v>5</v>
      </c>
    </row>
    <row r="81" customFormat="false" ht="27.75" hidden="false" customHeight="true" outlineLevel="0" collapsed="false">
      <c r="A81" s="1" t="s">
        <v>187</v>
      </c>
      <c r="B81" s="38" t="n">
        <v>8.99</v>
      </c>
      <c r="C81" s="43" t="s">
        <v>188</v>
      </c>
    </row>
    <row r="82" customFormat="false" ht="14.25" hidden="false" customHeight="true" outlineLevel="0" collapsed="false">
      <c r="A82" s="1" t="s">
        <v>166</v>
      </c>
      <c r="B82" s="52" t="n">
        <v>100</v>
      </c>
    </row>
    <row r="83" customFormat="false" ht="14.25" hidden="false" customHeight="true" outlineLevel="0" collapsed="false">
      <c r="A83" s="1" t="s">
        <v>189</v>
      </c>
      <c r="B83" s="66" t="n">
        <f aca="false">B81/B82</f>
        <v>0.0899</v>
      </c>
    </row>
    <row r="84" customFormat="false" ht="14.25" hidden="false" customHeight="true" outlineLevel="0" collapsed="false">
      <c r="A84" s="1" t="s">
        <v>190</v>
      </c>
      <c r="B84" s="38" t="n">
        <v>0.1</v>
      </c>
    </row>
    <row r="85" customFormat="false" ht="14.25" hidden="false" customHeight="true" outlineLevel="0" collapsed="false">
      <c r="A85" s="1" t="s">
        <v>191</v>
      </c>
      <c r="B85" s="66" t="n">
        <f aca="false">B83+B84</f>
        <v>0.1899</v>
      </c>
    </row>
    <row r="86" customFormat="false" ht="54.75" hidden="false" customHeight="true" outlineLevel="0" collapsed="false">
      <c r="A86" s="1" t="s">
        <v>192</v>
      </c>
      <c r="B86" s="52" t="n">
        <v>24</v>
      </c>
    </row>
    <row r="87" customFormat="false" ht="45" hidden="false" customHeight="true" outlineLevel="0" collapsed="false">
      <c r="A87" s="1" t="s">
        <v>193</v>
      </c>
      <c r="B87" s="67" t="n">
        <f aca="false">B85/B86</f>
        <v>0.0079125</v>
      </c>
    </row>
    <row r="88" customFormat="false" ht="14.25" hidden="false" customHeight="true" outlineLevel="0" collapsed="false">
      <c r="A88" s="1" t="s">
        <v>194</v>
      </c>
      <c r="B88" s="68" t="n">
        <v>1</v>
      </c>
      <c r="C88" s="1" t="s">
        <v>195</v>
      </c>
    </row>
    <row r="89" customFormat="false" ht="14.25" hidden="false" customHeight="true" outlineLevel="0" collapsed="false">
      <c r="A89" s="1" t="s">
        <v>196</v>
      </c>
      <c r="B89" s="66" t="n">
        <f aca="false">B87*B88</f>
        <v>0.0079125</v>
      </c>
    </row>
    <row r="91" customFormat="false" ht="41.25" hidden="false" customHeight="true" outlineLevel="0" collapsed="false">
      <c r="A91" s="58" t="s">
        <v>197</v>
      </c>
      <c r="B91" s="59" t="n">
        <f aca="false">B58+B70+B77+B89</f>
        <v>0.70218287037037</v>
      </c>
      <c r="C91" s="60" t="s">
        <v>198</v>
      </c>
    </row>
    <row r="93" customFormat="false" ht="19.5" hidden="false" customHeight="true" outlineLevel="0" collapsed="false">
      <c r="A93" s="37" t="s">
        <v>199</v>
      </c>
      <c r="B93" s="37"/>
      <c r="C93" s="37"/>
    </row>
    <row r="94" customFormat="false" ht="14.25" hidden="false" customHeight="true" outlineLevel="0" collapsed="false">
      <c r="A94" s="34" t="s">
        <v>200</v>
      </c>
      <c r="B94" s="61"/>
      <c r="C94" s="61"/>
    </row>
    <row r="95" customFormat="false" ht="14.25" hidden="false" customHeight="true" outlineLevel="0" collapsed="false">
      <c r="A95" s="35" t="s">
        <v>201</v>
      </c>
      <c r="B95" s="62" t="s">
        <v>202</v>
      </c>
      <c r="C95" s="35" t="s">
        <v>5</v>
      </c>
    </row>
    <row r="96" customFormat="false" ht="14.25" hidden="false" customHeight="true" outlineLevel="0" collapsed="false">
      <c r="A96" s="61" t="s">
        <v>203</v>
      </c>
      <c r="B96" s="38" t="n">
        <v>0.91</v>
      </c>
      <c r="C96" s="43" t="s">
        <v>204</v>
      </c>
    </row>
    <row r="97" customFormat="false" ht="14.25" hidden="false" customHeight="true" outlineLevel="0" collapsed="false">
      <c r="A97" s="61" t="s">
        <v>205</v>
      </c>
      <c r="B97" s="38" t="n">
        <v>1.55</v>
      </c>
      <c r="C97" s="43" t="s">
        <v>206</v>
      </c>
    </row>
    <row r="98" customFormat="false" ht="57" hidden="false" customHeight="true" outlineLevel="0" collapsed="false">
      <c r="A98" s="61" t="s">
        <v>207</v>
      </c>
      <c r="B98" s="38" t="n">
        <v>1.9</v>
      </c>
      <c r="C98" s="43" t="s">
        <v>208</v>
      </c>
    </row>
    <row r="99" customFormat="false" ht="54.75" hidden="false" customHeight="true" outlineLevel="0" collapsed="false">
      <c r="A99" s="61" t="s">
        <v>209</v>
      </c>
      <c r="B99" s="38" t="n">
        <v>2.9</v>
      </c>
      <c r="C99" s="43" t="s">
        <v>210</v>
      </c>
    </row>
    <row r="100" customFormat="false" ht="14.25" hidden="false" customHeight="true" outlineLevel="0" collapsed="false">
      <c r="A100" s="61" t="s">
        <v>211</v>
      </c>
      <c r="B100" s="38" t="n">
        <v>3.9</v>
      </c>
      <c r="C100" s="43" t="s">
        <v>212</v>
      </c>
    </row>
    <row r="101" customFormat="false" ht="114.75" hidden="false" customHeight="true" outlineLevel="0" collapsed="false">
      <c r="A101" s="61" t="s">
        <v>213</v>
      </c>
      <c r="B101" s="38" t="n">
        <v>8.75</v>
      </c>
      <c r="C101" s="43" t="s">
        <v>214</v>
      </c>
    </row>
    <row r="102" customFormat="false" ht="14.25" hidden="false" customHeight="true" outlineLevel="0" collapsed="false">
      <c r="A102" s="61" t="s">
        <v>215</v>
      </c>
      <c r="B102" s="38" t="s">
        <v>203</v>
      </c>
      <c r="C102" s="43" t="s">
        <v>216</v>
      </c>
    </row>
    <row r="103" customFormat="false" ht="14.25" hidden="false" customHeight="true" outlineLevel="0" collapsed="false">
      <c r="A103" s="54" t="s">
        <v>217</v>
      </c>
      <c r="B103" s="55" t="n">
        <f aca="false">INDEX(B96:B101,MATCH(B102,A96:A101,0))</f>
        <v>0.91</v>
      </c>
      <c r="C103" s="61"/>
    </row>
    <row r="105" customFormat="false" ht="14.25" hidden="false" customHeight="true" outlineLevel="0" collapsed="false">
      <c r="A105" s="34" t="s">
        <v>218</v>
      </c>
      <c r="B105" s="61"/>
      <c r="C105" s="61"/>
    </row>
    <row r="106" customFormat="false" ht="14.25" hidden="false" customHeight="true" outlineLevel="0" collapsed="false">
      <c r="A106" s="35" t="s">
        <v>2</v>
      </c>
      <c r="B106" s="62" t="s">
        <v>87</v>
      </c>
      <c r="C106" s="35" t="s">
        <v>5</v>
      </c>
    </row>
    <row r="107" customFormat="false" ht="42.75" hidden="false" customHeight="true" outlineLevel="0" collapsed="false">
      <c r="A107" s="61" t="s">
        <v>219</v>
      </c>
      <c r="B107" s="63" t="n">
        <v>0</v>
      </c>
      <c r="C107" s="43" t="s">
        <v>220</v>
      </c>
    </row>
    <row r="108" customFormat="false" ht="14.25" hidden="false" customHeight="true" outlineLevel="0" collapsed="false">
      <c r="A108" s="61" t="s">
        <v>166</v>
      </c>
      <c r="B108" s="69" t="n">
        <v>25</v>
      </c>
      <c r="C108" s="61"/>
    </row>
    <row r="109" customFormat="false" ht="14.25" hidden="false" customHeight="true" outlineLevel="0" collapsed="false">
      <c r="A109" s="54" t="s">
        <v>167</v>
      </c>
      <c r="B109" s="55" t="n">
        <f aca="false">B107/B108</f>
        <v>0</v>
      </c>
      <c r="C109" s="61"/>
    </row>
    <row r="110" customFormat="false" ht="14.25" hidden="false" customHeight="true" outlineLevel="0" collapsed="false">
      <c r="A110" s="61" t="s">
        <v>221</v>
      </c>
      <c r="B110" s="52" t="n">
        <v>3</v>
      </c>
      <c r="C110" s="43" t="s">
        <v>222</v>
      </c>
    </row>
    <row r="111" customFormat="false" ht="14.25" hidden="false" customHeight="true" outlineLevel="0" collapsed="false">
      <c r="A111" s="54" t="s">
        <v>223</v>
      </c>
      <c r="B111" s="55" t="n">
        <f aca="false">B109/B110</f>
        <v>0</v>
      </c>
    </row>
    <row r="113" customFormat="false" ht="15" hidden="false" customHeight="true" outlineLevel="0" collapsed="false">
      <c r="A113" s="58" t="s">
        <v>224</v>
      </c>
      <c r="B113" s="59" t="n">
        <f aca="false">B103+B111</f>
        <v>0.91</v>
      </c>
      <c r="C113" s="60" t="s">
        <v>225</v>
      </c>
    </row>
    <row r="115" customFormat="false" ht="19.5" hidden="false" customHeight="true" outlineLevel="0" collapsed="false">
      <c r="A115" s="37" t="s">
        <v>226</v>
      </c>
      <c r="B115" s="37"/>
      <c r="C115" s="37"/>
    </row>
    <row r="116" customFormat="false" ht="15" hidden="false" customHeight="true" outlineLevel="0" collapsed="false">
      <c r="A116" s="35" t="s">
        <v>2</v>
      </c>
      <c r="B116" s="35" t="s">
        <v>227</v>
      </c>
      <c r="C116" s="35" t="s">
        <v>5</v>
      </c>
    </row>
    <row r="117" customFormat="false" ht="15" hidden="false" customHeight="true" outlineLevel="0" collapsed="false">
      <c r="A117" s="61" t="s">
        <v>228</v>
      </c>
      <c r="B117" s="70" t="n">
        <f aca="false">B45</f>
        <v>1.12148328042328</v>
      </c>
      <c r="C117" s="43"/>
    </row>
    <row r="118" customFormat="false" ht="15" hidden="false" customHeight="true" outlineLevel="0" collapsed="false">
      <c r="A118" s="61" t="s">
        <v>229</v>
      </c>
      <c r="B118" s="70" t="n">
        <f aca="false">B91</f>
        <v>0.70218287037037</v>
      </c>
      <c r="C118" s="43"/>
    </row>
    <row r="119" customFormat="false" ht="15" hidden="false" customHeight="true" outlineLevel="0" collapsed="false">
      <c r="A119" s="61" t="s">
        <v>230</v>
      </c>
      <c r="B119" s="70" t="n">
        <f aca="false">B113</f>
        <v>0.91</v>
      </c>
      <c r="C119" s="43"/>
    </row>
    <row r="120" customFormat="false" ht="14.25" hidden="false" customHeight="true" outlineLevel="0" collapsed="false">
      <c r="A120" s="71" t="s">
        <v>231</v>
      </c>
      <c r="B120" s="72" t="n">
        <f aca="false">B117+B118+B119</f>
        <v>2.73366615079365</v>
      </c>
      <c r="C120" s="33" t="s">
        <v>232</v>
      </c>
    </row>
    <row r="121" customFormat="false" ht="14.25" hidden="false" customHeight="true" outlineLevel="0" collapsed="false">
      <c r="A121" s="61" t="s">
        <v>233</v>
      </c>
      <c r="B121" s="70" t="n">
        <f aca="false">B120/B7</f>
        <v>0.683416537698413</v>
      </c>
      <c r="C121" s="61"/>
    </row>
    <row r="123" customFormat="false" ht="14.25" hidden="false" customHeight="true" outlineLevel="0" collapsed="false">
      <c r="A123" s="61" t="s">
        <v>234</v>
      </c>
      <c r="B123" s="63" t="n">
        <f aca="false">'Recurring Overhead'!B34</f>
        <v>8.32233333333333</v>
      </c>
      <c r="C123" s="73" t="s">
        <v>235</v>
      </c>
    </row>
    <row r="124" customFormat="false" ht="14.25" hidden="false" customHeight="true" outlineLevel="0" collapsed="false">
      <c r="A124" s="61" t="s">
        <v>236</v>
      </c>
      <c r="B124" s="56" t="n">
        <f aca="false">B123*B7</f>
        <v>33.2893333333333</v>
      </c>
    </row>
    <row r="125" customFormat="false" ht="14.25" hidden="false" customHeight="true" outlineLevel="0" collapsed="false">
      <c r="A125" s="54" t="s">
        <v>237</v>
      </c>
      <c r="B125" s="55" t="n">
        <f aca="false">B120+B124</f>
        <v>36.022999484127</v>
      </c>
    </row>
    <row r="126" customFormat="false" ht="14.25" hidden="false" customHeight="true" outlineLevel="0" collapsed="false">
      <c r="A126" s="61" t="s">
        <v>238</v>
      </c>
      <c r="B126" s="70" t="n">
        <f aca="false">B125/B7</f>
        <v>9.00574987103175</v>
      </c>
    </row>
    <row r="128" customFormat="false" ht="39.75" hidden="false" customHeight="true" outlineLevel="0" collapsed="false">
      <c r="A128" s="74" t="s">
        <v>239</v>
      </c>
      <c r="B128" s="74"/>
      <c r="C128" s="74"/>
    </row>
    <row r="129" customFormat="false" ht="39.75" hidden="false" customHeight="true" outlineLevel="0" collapsed="false">
      <c r="A129" s="74" t="s">
        <v>240</v>
      </c>
      <c r="B129" s="74"/>
      <c r="C129" s="74"/>
    </row>
  </sheetData>
  <mergeCells count="6">
    <mergeCell ref="A10:C10"/>
    <mergeCell ref="A47:C47"/>
    <mergeCell ref="A93:C93"/>
    <mergeCell ref="A115:C115"/>
    <mergeCell ref="A128:C128"/>
    <mergeCell ref="A129:C129"/>
  </mergeCells>
  <dataValidations count="3">
    <dataValidation allowBlank="false" errorStyle="stop" operator="between" showDropDown="false" showErrorMessage="false" showInputMessage="false" sqref="B22 B30 B68" type="list">
      <formula1>"Y,N"</formula1>
      <formula2>0</formula2>
    </dataValidation>
    <dataValidation allowBlank="false" errorStyle="stop" operator="between" showDropDown="false" showErrorMessage="false" showInputMessage="false" sqref="B55" type="list">
      <formula1>$A$50:$A$54</formula1>
      <formula2>0</formula2>
    </dataValidation>
    <dataValidation allowBlank="false" errorStyle="stop" operator="between" showDropDown="false" showErrorMessage="false" showInputMessage="false" sqref="B102" type="list">
      <formula1>$A$96:$A$101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22"/>
    <col collapsed="false" customWidth="true" hidden="false" outlineLevel="0" max="3" min="3" style="1" width="58"/>
  </cols>
  <sheetData>
    <row r="1" customFormat="false" ht="15.75" hidden="false" customHeight="true" outlineLevel="0" collapsed="false">
      <c r="A1" s="75" t="s">
        <v>241</v>
      </c>
    </row>
    <row r="2" customFormat="false" ht="15" hidden="false" customHeight="true" outlineLevel="0" collapsed="false">
      <c r="A2" s="33" t="s">
        <v>242</v>
      </c>
    </row>
    <row r="4" customFormat="false" ht="15" hidden="false" customHeight="true" outlineLevel="0" collapsed="false">
      <c r="A4" s="34" t="s">
        <v>243</v>
      </c>
    </row>
    <row r="5" customFormat="false" ht="15" hidden="false" customHeight="true" outlineLevel="0" collapsed="false">
      <c r="A5" s="61" t="s">
        <v>244</v>
      </c>
      <c r="B5" s="38"/>
      <c r="C5" s="43" t="s">
        <v>245</v>
      </c>
    </row>
    <row r="6" customFormat="false" ht="15" hidden="false" customHeight="true" outlineLevel="0" collapsed="false">
      <c r="A6" s="61" t="s">
        <v>246</v>
      </c>
      <c r="B6" s="52"/>
      <c r="C6" s="43" t="s">
        <v>247</v>
      </c>
    </row>
    <row r="7" customFormat="false" ht="15" hidden="false" customHeight="true" outlineLevel="0" collapsed="false">
      <c r="A7" s="61" t="s">
        <v>248</v>
      </c>
      <c r="B7" s="76" t="n">
        <f aca="false">IF(OR(B5="",B6=""),0,B5/B6)</f>
        <v>0</v>
      </c>
    </row>
    <row r="8" customFormat="false" ht="27.75" hidden="false" customHeight="true" outlineLevel="0" collapsed="false">
      <c r="A8" s="61" t="s">
        <v>249</v>
      </c>
      <c r="B8" s="77" t="n">
        <v>4</v>
      </c>
      <c r="C8" s="43" t="s">
        <v>250</v>
      </c>
    </row>
    <row r="9" customFormat="false" ht="27.75" hidden="false" customHeight="true" outlineLevel="0" collapsed="false">
      <c r="A9" s="61" t="s">
        <v>251</v>
      </c>
      <c r="B9" s="77" t="n">
        <v>84</v>
      </c>
      <c r="C9" s="43" t="s">
        <v>252</v>
      </c>
    </row>
    <row r="10" customFormat="false" ht="15" hidden="false" customHeight="true" outlineLevel="0" collapsed="false">
      <c r="A10" s="61" t="s">
        <v>253</v>
      </c>
      <c r="B10" s="76" t="n">
        <f aca="false">IF(B8=0,0,B7/B8)</f>
        <v>0</v>
      </c>
    </row>
    <row r="12" customFormat="false" ht="15" hidden="false" customHeight="true" outlineLevel="0" collapsed="false">
      <c r="A12" s="34" t="s">
        <v>254</v>
      </c>
    </row>
    <row r="13" customFormat="false" ht="27.75" hidden="false" customHeight="true" outlineLevel="0" collapsed="false">
      <c r="A13" s="61" t="s">
        <v>255</v>
      </c>
      <c r="B13" s="38" t="n">
        <v>5.94</v>
      </c>
      <c r="C13" s="43" t="s">
        <v>256</v>
      </c>
    </row>
    <row r="14" customFormat="false" ht="15" hidden="false" customHeight="true" outlineLevel="0" collapsed="false">
      <c r="A14" s="61" t="s">
        <v>257</v>
      </c>
      <c r="B14" s="52" t="n">
        <v>30</v>
      </c>
      <c r="C14" s="43" t="s">
        <v>258</v>
      </c>
    </row>
    <row r="15" customFormat="false" ht="15" hidden="false" customHeight="true" outlineLevel="0" collapsed="false">
      <c r="A15" s="61" t="s">
        <v>259</v>
      </c>
      <c r="B15" s="77" t="n">
        <v>30</v>
      </c>
      <c r="C15" s="43" t="s">
        <v>260</v>
      </c>
    </row>
    <row r="16" customFormat="false" ht="15" hidden="false" customHeight="true" outlineLevel="0" collapsed="false">
      <c r="A16" s="61" t="s">
        <v>261</v>
      </c>
      <c r="B16" s="77" t="n">
        <v>45</v>
      </c>
      <c r="C16" s="43" t="s">
        <v>262</v>
      </c>
    </row>
    <row r="17" customFormat="false" ht="15" hidden="false" customHeight="true" outlineLevel="0" collapsed="false">
      <c r="A17" s="61" t="s">
        <v>263</v>
      </c>
      <c r="B17" s="78" t="n">
        <f aca="false">IF(OR(B13="",B14="",B14=0),0,B13/(B14*100))</f>
        <v>0.00198</v>
      </c>
    </row>
    <row r="18" customFormat="false" ht="15" hidden="false" customHeight="true" outlineLevel="0" collapsed="false">
      <c r="A18" s="61" t="s">
        <v>264</v>
      </c>
      <c r="B18" s="76" t="n">
        <f aca="false">B17*B15</f>
        <v>0.0594</v>
      </c>
    </row>
    <row r="19" customFormat="false" ht="15" hidden="false" customHeight="true" outlineLevel="0" collapsed="false">
      <c r="A19" s="61" t="s">
        <v>265</v>
      </c>
      <c r="B19" s="76" t="n">
        <f aca="false">B17*B16</f>
        <v>0.0891</v>
      </c>
    </row>
    <row r="20" customFormat="false" ht="15" hidden="false" customHeight="true" outlineLevel="0" collapsed="false">
      <c r="A20" s="61" t="s">
        <v>266</v>
      </c>
      <c r="B20" s="76" t="n">
        <f aca="false">IF(B8=0,0,B19/B8)</f>
        <v>0.022275</v>
      </c>
    </row>
    <row r="22" customFormat="false" ht="15" hidden="false" customHeight="true" outlineLevel="0" collapsed="false">
      <c r="A22" s="34" t="s">
        <v>267</v>
      </c>
    </row>
    <row r="23" customFormat="false" ht="15" hidden="false" customHeight="true" outlineLevel="0" collapsed="false">
      <c r="B23" s="79" t="s">
        <v>268</v>
      </c>
      <c r="C23" s="79" t="s">
        <v>269</v>
      </c>
    </row>
    <row r="24" customFormat="false" ht="15" hidden="false" customHeight="true" outlineLevel="0" collapsed="false">
      <c r="A24" s="61" t="s">
        <v>270</v>
      </c>
      <c r="B24" s="80" t="n">
        <f aca="false">'Bin Stickers 100x140 4pk'!B56</f>
        <v>0.25</v>
      </c>
      <c r="C24" s="76" t="n">
        <f aca="false">B10</f>
        <v>0</v>
      </c>
    </row>
    <row r="25" customFormat="false" ht="15" hidden="false" customHeight="true" outlineLevel="0" collapsed="false">
      <c r="A25" s="61" t="s">
        <v>271</v>
      </c>
      <c r="B25" s="76" t="n">
        <f aca="false">B18</f>
        <v>0.0594</v>
      </c>
      <c r="C25" s="76" t="n">
        <f aca="false">B20</f>
        <v>0.022275</v>
      </c>
    </row>
    <row r="26" customFormat="false" ht="15" hidden="false" customHeight="true" outlineLevel="0" collapsed="false">
      <c r="A26" s="61" t="s">
        <v>272</v>
      </c>
      <c r="B26" s="80" t="n">
        <f aca="false">'Bin Stickers 100x140 4pk'!B96</f>
        <v>0.91</v>
      </c>
      <c r="C26" s="80" t="n">
        <f aca="false">'Bin Stickers 100x140 4pk'!B97</f>
        <v>1.55</v>
      </c>
    </row>
    <row r="27" customFormat="false" ht="15" hidden="false" customHeight="true" outlineLevel="0" collapsed="false">
      <c r="A27" s="61" t="s">
        <v>273</v>
      </c>
      <c r="B27" s="76" t="n">
        <f aca="false">B26</f>
        <v>0.91</v>
      </c>
      <c r="C27" s="76" t="n">
        <f aca="false">IF(B8=0,0,C26/B8)</f>
        <v>0.3875</v>
      </c>
    </row>
    <row r="28" customFormat="false" ht="15" hidden="false" customHeight="true" outlineLevel="0" collapsed="false">
      <c r="A28" s="61" t="s">
        <v>274</v>
      </c>
      <c r="B28" s="76" t="n">
        <f aca="false">B24+B25+B27</f>
        <v>1.2194</v>
      </c>
      <c r="C28" s="76" t="n">
        <f aca="false">C24+C25+C27</f>
        <v>0.409775</v>
      </c>
    </row>
    <row r="29" customFormat="false" ht="15" hidden="false" customHeight="true" outlineLevel="0" collapsed="false">
      <c r="A29" s="61" t="s">
        <v>275</v>
      </c>
      <c r="C29" s="76" t="n">
        <f aca="false">B28-C28</f>
        <v>0.809625</v>
      </c>
    </row>
    <row r="31" customFormat="false" ht="75" hidden="false" customHeight="true" outlineLevel="0" collapsed="false">
      <c r="A31" s="81" t="s">
        <v>276</v>
      </c>
      <c r="B31" s="81"/>
      <c r="C31" s="81"/>
    </row>
  </sheetData>
  <mergeCells count="1">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60"/>
  </cols>
  <sheetData>
    <row r="1" customFormat="false" ht="17.25" hidden="false" customHeight="true" outlineLevel="0" collapsed="false">
      <c r="A1" s="32" t="s">
        <v>277</v>
      </c>
    </row>
    <row r="2" customFormat="false" ht="14.25" hidden="false" customHeight="true" outlineLevel="0" collapsed="false">
      <c r="A2" s="33" t="s">
        <v>278</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279</v>
      </c>
      <c r="C6" s="33" t="s">
        <v>280</v>
      </c>
    </row>
    <row r="7" customFormat="false" ht="14.25" hidden="false" customHeight="true" outlineLevel="0" collapsed="false">
      <c r="A7" s="1" t="s">
        <v>91</v>
      </c>
      <c r="B7" s="36" t="n">
        <v>2</v>
      </c>
      <c r="C7" s="33" t="s">
        <v>281</v>
      </c>
    </row>
    <row r="8" customFormat="false" ht="14.25" hidden="false" customHeight="true" outlineLevel="0" collapsed="false">
      <c r="A8" s="1" t="s">
        <v>93</v>
      </c>
      <c r="B8" s="36" t="n">
        <v>1</v>
      </c>
      <c r="C8" s="33" t="s">
        <v>282</v>
      </c>
    </row>
    <row r="10" customFormat="false" ht="19.5" hidden="false" customHeight="true" outlineLevel="0" collapsed="false">
      <c r="A10" s="37" t="s">
        <v>283</v>
      </c>
      <c r="B10" s="37"/>
      <c r="C10" s="37"/>
    </row>
    <row r="11" customFormat="false" ht="14.25" hidden="false" customHeight="true" outlineLevel="0" collapsed="false">
      <c r="A11" s="34" t="s">
        <v>96</v>
      </c>
    </row>
    <row r="12" customFormat="false" ht="14.25" hidden="false" customHeight="true" outlineLevel="0" collapsed="false">
      <c r="A12" s="35" t="s">
        <v>2</v>
      </c>
      <c r="B12" s="35" t="s">
        <v>97</v>
      </c>
      <c r="C12" s="35" t="s">
        <v>5</v>
      </c>
    </row>
    <row r="13" customFormat="false" ht="14.25" hidden="false" customHeight="true" outlineLevel="0" collapsed="false">
      <c r="A13" s="1" t="s">
        <v>98</v>
      </c>
      <c r="B13" s="63" t="n">
        <f aca="false">'Bin Stickers 100x140 4pk'!B13</f>
        <v>0.35</v>
      </c>
      <c r="C13" s="33" t="s">
        <v>284</v>
      </c>
    </row>
    <row r="14" customFormat="false" ht="14.25" hidden="false" customHeight="true" outlineLevel="0" collapsed="false">
      <c r="A14" s="1" t="s">
        <v>100</v>
      </c>
      <c r="B14" s="63" t="n">
        <f aca="false">'Bin Stickers 100x140 4pk'!B14</f>
        <v>0.35</v>
      </c>
      <c r="C14" s="33" t="s">
        <v>284</v>
      </c>
    </row>
    <row r="15" customFormat="false" ht="14.25" hidden="false" customHeight="true" outlineLevel="0" collapsed="false">
      <c r="A15" s="1" t="s">
        <v>102</v>
      </c>
      <c r="B15" s="63" t="n">
        <f aca="false">'Bin Stickers 100x140 4pk'!B15</f>
        <v>0.1</v>
      </c>
      <c r="C15" s="33" t="s">
        <v>285</v>
      </c>
    </row>
    <row r="16" customFormat="false" ht="14.25" hidden="false" customHeight="true" outlineLevel="0" collapsed="false">
      <c r="A16" s="1" t="s">
        <v>104</v>
      </c>
      <c r="B16" s="39" t="n">
        <f aca="false">SUM(B13:B15)</f>
        <v>0.8</v>
      </c>
    </row>
    <row r="17" customFormat="false" ht="14.25" hidden="false" customHeight="true" outlineLevel="0" collapsed="false">
      <c r="A17" s="1" t="s">
        <v>105</v>
      </c>
      <c r="B17" s="40" t="n">
        <f aca="false">B8</f>
        <v>1</v>
      </c>
    </row>
    <row r="18" customFormat="false" ht="14.25" hidden="false" customHeight="true" outlineLevel="0" collapsed="false">
      <c r="A18" s="1" t="s">
        <v>106</v>
      </c>
      <c r="B18" s="39" t="n">
        <f aca="false">B16*B17</f>
        <v>0.8</v>
      </c>
    </row>
    <row r="20" customFormat="false" ht="15" hidden="false" customHeight="true" outlineLevel="0" collapsed="false">
      <c r="A20" s="34" t="s">
        <v>107</v>
      </c>
    </row>
    <row r="21" customFormat="false" ht="14.25" hidden="false" customHeight="true" outlineLevel="0" collapsed="false">
      <c r="A21" s="35" t="s">
        <v>2</v>
      </c>
      <c r="B21" s="35" t="s">
        <v>87</v>
      </c>
      <c r="C21" s="35" t="s">
        <v>5</v>
      </c>
    </row>
    <row r="22" customFormat="false" ht="14.25" hidden="false" customHeight="true" outlineLevel="0" collapsed="false">
      <c r="A22" s="41" t="s">
        <v>108</v>
      </c>
      <c r="B22" s="42" t="s">
        <v>122</v>
      </c>
      <c r="C22" s="43" t="s">
        <v>286</v>
      </c>
    </row>
    <row r="23" customFormat="false" ht="14.25" hidden="false" customHeight="true" outlineLevel="0" collapsed="false">
      <c r="A23" s="41" t="s">
        <v>111</v>
      </c>
      <c r="B23" s="44" t="n">
        <f aca="false">B8</f>
        <v>1</v>
      </c>
      <c r="C23" s="43" t="s">
        <v>112</v>
      </c>
    </row>
    <row r="24" customFormat="false" ht="14.25" hidden="false" customHeight="true" outlineLevel="0" collapsed="false">
      <c r="A24" s="41" t="s">
        <v>113</v>
      </c>
      <c r="B24" s="45" t="str">
        <f aca="false">'Cricut Costs'!B24</f>
        <v>StandardGrip 12x12</v>
      </c>
      <c r="C24" s="43" t="s">
        <v>114</v>
      </c>
    </row>
    <row r="25" customFormat="false" ht="14.25" hidden="false" customHeight="true" outlineLevel="0" collapsed="false">
      <c r="A25" s="41" t="s">
        <v>115</v>
      </c>
      <c r="B25" s="46" t="n">
        <f aca="false">'Cricut Costs'!E24</f>
        <v>0.0703703703703704</v>
      </c>
      <c r="C25" s="43"/>
    </row>
    <row r="26" customFormat="false" ht="14.25" hidden="false" customHeight="true" outlineLevel="0" collapsed="false">
      <c r="A26" s="41" t="s">
        <v>116</v>
      </c>
      <c r="B26" s="47" t="str">
        <f aca="false">'Cricut Costs'!C24</f>
        <v>Fine-point (Premium)</v>
      </c>
      <c r="C26" s="43"/>
    </row>
    <row r="27" customFormat="false" ht="14.25" hidden="false" customHeight="true" outlineLevel="0" collapsed="false">
      <c r="A27" s="41" t="s">
        <v>117</v>
      </c>
      <c r="B27" s="46" t="n">
        <f aca="false">'Cricut Costs'!F24</f>
        <v>0.0225</v>
      </c>
      <c r="C27" s="43"/>
    </row>
    <row r="28" customFormat="false" ht="14.25" hidden="false" customHeight="true" outlineLevel="0" collapsed="false">
      <c r="A28" s="48" t="s">
        <v>118</v>
      </c>
      <c r="B28" s="46" t="n">
        <f aca="false">'Cricut Costs'!G24</f>
        <v>0.0928703703703704</v>
      </c>
      <c r="C28" s="43"/>
    </row>
    <row r="29" customFormat="false" ht="14.25" hidden="false" customHeight="true" outlineLevel="0" collapsed="false">
      <c r="A29" s="49" t="s">
        <v>119</v>
      </c>
      <c r="B29" s="50" t="n">
        <f aca="false">IF(B22="Y",B28*B23,0)</f>
        <v>0.0928703703703704</v>
      </c>
      <c r="C29" s="43" t="s">
        <v>120</v>
      </c>
    </row>
    <row r="30" customFormat="false" ht="14.25" hidden="false" customHeight="true" outlineLevel="0" collapsed="false">
      <c r="A30" s="51" t="s">
        <v>121</v>
      </c>
      <c r="B30" s="63" t="str">
        <f aca="false">'Bin Stickers 100x140 4pk'!B30</f>
        <v>Y</v>
      </c>
      <c r="C30" s="43" t="s">
        <v>287</v>
      </c>
    </row>
    <row r="31" customFormat="false" ht="28.5" hidden="false" customHeight="true" outlineLevel="0" collapsed="false">
      <c r="A31" s="51" t="s">
        <v>124</v>
      </c>
      <c r="B31" s="53" t="n">
        <f aca="false">IF(B30="Y",'Cricut Costs'!G25*B8,0)</f>
        <v>0.289166666666667</v>
      </c>
      <c r="C31" s="43" t="s">
        <v>288</v>
      </c>
    </row>
    <row r="32" customFormat="false" ht="15" hidden="false" customHeight="true" outlineLevel="0" collapsed="false">
      <c r="A32" s="54" t="s">
        <v>126</v>
      </c>
      <c r="B32" s="55" t="n">
        <f aca="false">B29+B31</f>
        <v>0.382037037037037</v>
      </c>
      <c r="C32" s="43"/>
    </row>
    <row r="34" customFormat="false" ht="15" hidden="false" customHeight="true" outlineLevel="0" collapsed="false">
      <c r="A34" s="34" t="s">
        <v>127</v>
      </c>
    </row>
    <row r="35" customFormat="false" ht="14.25" hidden="false" customHeight="true" outlineLevel="0" collapsed="false">
      <c r="A35" s="35" t="s">
        <v>2</v>
      </c>
      <c r="B35" s="35" t="s">
        <v>87</v>
      </c>
      <c r="C35" s="35" t="s">
        <v>5</v>
      </c>
    </row>
    <row r="36" customFormat="false" ht="14.25" hidden="false" customHeight="true" outlineLevel="0" collapsed="false">
      <c r="A36" s="51" t="s">
        <v>289</v>
      </c>
      <c r="B36" s="63" t="n">
        <f aca="false">'Bin Stickers 100x140 4pk'!B41</f>
        <v>0.00807915343915344</v>
      </c>
      <c r="C36" s="43" t="s">
        <v>287</v>
      </c>
    </row>
    <row r="37" customFormat="false" ht="14.25" hidden="false" customHeight="true" outlineLevel="0" collapsed="false">
      <c r="A37" s="51" t="s">
        <v>138</v>
      </c>
      <c r="B37" s="56" t="n">
        <f aca="false">B7</f>
        <v>2</v>
      </c>
      <c r="C37" s="43" t="s">
        <v>139</v>
      </c>
    </row>
    <row r="38" customFormat="false" ht="14.25" hidden="false" customHeight="true" outlineLevel="0" collapsed="false">
      <c r="A38" s="51" t="s">
        <v>140</v>
      </c>
      <c r="B38" s="57" t="n">
        <f aca="false">B36*B37</f>
        <v>0.0161583068783069</v>
      </c>
      <c r="C38" s="43"/>
    </row>
    <row r="40" customFormat="false" ht="15.75" hidden="false" customHeight="true" outlineLevel="0" collapsed="false">
      <c r="A40" s="58" t="s">
        <v>141</v>
      </c>
      <c r="B40" s="59" t="n">
        <f aca="false">B18+B32+B38</f>
        <v>1.19819534391534</v>
      </c>
      <c r="C40" s="60" t="s">
        <v>142</v>
      </c>
    </row>
    <row r="42" customFormat="false" ht="19.5" hidden="false" customHeight="true" outlineLevel="0" collapsed="false">
      <c r="A42" s="37" t="s">
        <v>290</v>
      </c>
      <c r="B42" s="37"/>
      <c r="C42" s="37"/>
    </row>
    <row r="43" customFormat="false" ht="14.25" hidden="false" customHeight="true" outlineLevel="0" collapsed="false">
      <c r="A43" s="34" t="s">
        <v>291</v>
      </c>
      <c r="B43" s="61"/>
      <c r="C43" s="61"/>
    </row>
    <row r="44" customFormat="false" ht="14.25" hidden="false" customHeight="true" outlineLevel="0" collapsed="false">
      <c r="A44" s="35" t="s">
        <v>145</v>
      </c>
      <c r="B44" s="62" t="s">
        <v>146</v>
      </c>
      <c r="C44" s="35" t="s">
        <v>5</v>
      </c>
    </row>
    <row r="45" customFormat="false" ht="54.75" hidden="false" customHeight="true" outlineLevel="0" collapsed="false">
      <c r="A45" s="61" t="s">
        <v>292</v>
      </c>
      <c r="B45" s="38" t="n">
        <v>0.22</v>
      </c>
      <c r="C45" s="43" t="s">
        <v>293</v>
      </c>
    </row>
    <row r="46" customFormat="false" ht="41.25" hidden="false" customHeight="true" outlineLevel="0" collapsed="false">
      <c r="A46" s="61" t="s">
        <v>294</v>
      </c>
      <c r="B46" s="38" t="n">
        <v>0.24</v>
      </c>
      <c r="C46" s="43" t="s">
        <v>295</v>
      </c>
    </row>
    <row r="47" customFormat="false" ht="54.75" hidden="false" customHeight="true" outlineLevel="0" collapsed="false">
      <c r="A47" s="61" t="s">
        <v>296</v>
      </c>
      <c r="B47" s="38" t="n">
        <v>0.35</v>
      </c>
      <c r="C47" s="43" t="s">
        <v>297</v>
      </c>
    </row>
    <row r="48" customFormat="false" ht="14.25" hidden="false" customHeight="true" outlineLevel="0" collapsed="false">
      <c r="A48" s="61" t="s">
        <v>298</v>
      </c>
      <c r="B48" s="38" t="n">
        <v>0.45</v>
      </c>
      <c r="C48" s="43" t="s">
        <v>299</v>
      </c>
    </row>
    <row r="49" customFormat="false" ht="14.25" hidden="false" customHeight="true" outlineLevel="0" collapsed="false">
      <c r="A49" s="61" t="s">
        <v>300</v>
      </c>
      <c r="B49" s="38" t="s">
        <v>292</v>
      </c>
      <c r="C49" s="43" t="s">
        <v>301</v>
      </c>
    </row>
    <row r="50" customFormat="false" ht="14.25" hidden="false" customHeight="true" outlineLevel="0" collapsed="false">
      <c r="A50" s="54" t="s">
        <v>159</v>
      </c>
      <c r="B50" s="55" t="n">
        <f aca="false">INDEX(B45:B48,MATCH(B49,A45:A48,0))</f>
        <v>0.22</v>
      </c>
      <c r="C50" s="61"/>
    </row>
    <row r="52" customFormat="false" ht="14.25" hidden="false" customHeight="true" outlineLevel="0" collapsed="false">
      <c r="A52" s="1" t="s">
        <v>302</v>
      </c>
    </row>
    <row r="53" customFormat="false" ht="14.25" hidden="false" customHeight="true" outlineLevel="0" collapsed="false">
      <c r="A53" s="1" t="s">
        <v>2</v>
      </c>
      <c r="B53" s="1" t="s">
        <v>97</v>
      </c>
      <c r="C53" s="1" t="s">
        <v>5</v>
      </c>
    </row>
    <row r="54" customFormat="false" ht="54.75" hidden="false" customHeight="true" outlineLevel="0" collapsed="false">
      <c r="A54" s="1" t="s">
        <v>181</v>
      </c>
      <c r="B54" s="82" t="n">
        <f aca="false">'Bin Stickers 100x140 4pk'!B75</f>
        <v>0.06</v>
      </c>
      <c r="C54" s="1" t="s">
        <v>182</v>
      </c>
    </row>
    <row r="55" customFormat="false" ht="27.75" hidden="false" customHeight="true" outlineLevel="0" collapsed="false">
      <c r="A55" s="1" t="s">
        <v>183</v>
      </c>
      <c r="B55" s="82" t="n">
        <f aca="false">'Bin Stickers 100x140 4pk'!B76</f>
        <v>0.1</v>
      </c>
      <c r="C55" s="1" t="s">
        <v>303</v>
      </c>
    </row>
    <row r="56" customFormat="false" ht="27.75" hidden="false" customHeight="true" outlineLevel="0" collapsed="false">
      <c r="A56" s="1" t="s">
        <v>185</v>
      </c>
      <c r="B56" s="1" t="n">
        <f aca="false">SUM(B54:B55)</f>
        <v>0.16</v>
      </c>
    </row>
    <row r="58" customFormat="false" ht="27.75" hidden="false" customHeight="true" outlineLevel="0" collapsed="false">
      <c r="A58" s="34" t="s">
        <v>304</v>
      </c>
    </row>
    <row r="59" customFormat="false" ht="27.75" hidden="false" customHeight="true" outlineLevel="0" collapsed="false">
      <c r="A59" s="35" t="s">
        <v>2</v>
      </c>
      <c r="B59" s="62" t="s">
        <v>97</v>
      </c>
      <c r="C59" s="35" t="s">
        <v>5</v>
      </c>
    </row>
    <row r="60" customFormat="false" ht="27.75" hidden="false" customHeight="true" outlineLevel="0" collapsed="false">
      <c r="A60" s="1" t="s">
        <v>305</v>
      </c>
      <c r="B60" s="63" t="n">
        <f aca="false">'Bin Stickers 100x140 4pk'!B81</f>
        <v>8.99</v>
      </c>
      <c r="C60" s="1" t="s">
        <v>284</v>
      </c>
    </row>
    <row r="61" customFormat="false" ht="27.75" hidden="false" customHeight="true" outlineLevel="0" collapsed="false">
      <c r="A61" s="1" t="s">
        <v>166</v>
      </c>
      <c r="B61" s="69" t="n">
        <f aca="false">'Bin Stickers 100x140 4pk'!B82</f>
        <v>100</v>
      </c>
    </row>
    <row r="62" customFormat="false" ht="27.75" hidden="false" customHeight="true" outlineLevel="0" collapsed="false">
      <c r="A62" s="1" t="s">
        <v>189</v>
      </c>
      <c r="B62" s="66" t="n">
        <f aca="false">B60/B61</f>
        <v>0.0899</v>
      </c>
    </row>
    <row r="63" customFormat="false" ht="27.75" hidden="false" customHeight="true" outlineLevel="0" collapsed="false">
      <c r="A63" s="1" t="s">
        <v>190</v>
      </c>
      <c r="B63" s="63" t="n">
        <f aca="false">'Bin Stickers 100x140 4pk'!B84</f>
        <v>0.1</v>
      </c>
      <c r="C63" s="1" t="s">
        <v>306</v>
      </c>
    </row>
    <row r="64" customFormat="false" ht="27.75" hidden="false" customHeight="true" outlineLevel="0" collapsed="false">
      <c r="A64" s="1" t="s">
        <v>191</v>
      </c>
      <c r="B64" s="66" t="n">
        <f aca="false">B62+B63</f>
        <v>0.1899</v>
      </c>
    </row>
    <row r="65" customFormat="false" ht="27.75" hidden="false" customHeight="true" outlineLevel="0" collapsed="false">
      <c r="A65" s="1" t="s">
        <v>192</v>
      </c>
      <c r="B65" s="69" t="n">
        <f aca="false">'Bin Stickers 100x140 4pk'!B86</f>
        <v>24</v>
      </c>
    </row>
    <row r="66" customFormat="false" ht="27.75" hidden="false" customHeight="true" outlineLevel="0" collapsed="false">
      <c r="A66" s="1" t="s">
        <v>193</v>
      </c>
      <c r="B66" s="66" t="n">
        <f aca="false">B64/B65</f>
        <v>0.0079125</v>
      </c>
    </row>
    <row r="67" customFormat="false" ht="27.75" hidden="false" customHeight="true" outlineLevel="0" collapsed="false">
      <c r="A67" s="1" t="s">
        <v>194</v>
      </c>
      <c r="B67" s="69" t="n">
        <f aca="false">'Bin Stickers 100x140 4pk'!B88</f>
        <v>1</v>
      </c>
      <c r="C67" s="1" t="s">
        <v>307</v>
      </c>
    </row>
    <row r="68" customFormat="false" ht="27.75" hidden="false" customHeight="true" outlineLevel="0" collapsed="false">
      <c r="A68" s="1" t="s">
        <v>196</v>
      </c>
      <c r="B68" s="66" t="n">
        <f aca="false">B66*B67</f>
        <v>0.0079125</v>
      </c>
    </row>
    <row r="70" customFormat="false" ht="31.5" hidden="false" customHeight="true" outlineLevel="0" collapsed="false">
      <c r="A70" s="58" t="s">
        <v>197</v>
      </c>
      <c r="B70" s="59" t="n">
        <f aca="false">B50+B56+B68</f>
        <v>0.3879125</v>
      </c>
      <c r="C70" s="60" t="s">
        <v>308</v>
      </c>
    </row>
    <row r="72" customFormat="false" ht="19.5" hidden="false" customHeight="true" outlineLevel="0" collapsed="false">
      <c r="A72" s="37" t="s">
        <v>199</v>
      </c>
      <c r="B72" s="37"/>
      <c r="C72" s="37"/>
    </row>
    <row r="73" customFormat="false" ht="28.5" hidden="false" customHeight="true" outlineLevel="0" collapsed="false">
      <c r="A73" s="34" t="s">
        <v>309</v>
      </c>
      <c r="B73" s="61"/>
      <c r="C73" s="61"/>
    </row>
    <row r="74" customFormat="false" ht="27.75" hidden="false" customHeight="true" outlineLevel="0" collapsed="false">
      <c r="A74" s="35" t="s">
        <v>201</v>
      </c>
      <c r="B74" s="62" t="s">
        <v>202</v>
      </c>
      <c r="C74" s="35" t="s">
        <v>5</v>
      </c>
    </row>
    <row r="75" customFormat="false" ht="14.25" hidden="false" customHeight="true" outlineLevel="0" collapsed="false">
      <c r="A75" s="61" t="s">
        <v>203</v>
      </c>
      <c r="B75" s="63" t="n">
        <f aca="false">'Bin Stickers 100x140 4pk'!B96</f>
        <v>0.91</v>
      </c>
      <c r="C75" s="43" t="s">
        <v>310</v>
      </c>
    </row>
    <row r="76" customFormat="false" ht="14.25" hidden="false" customHeight="true" outlineLevel="0" collapsed="false">
      <c r="A76" s="61" t="s">
        <v>205</v>
      </c>
      <c r="B76" s="63" t="n">
        <f aca="false">'Bin Stickers 100x140 4pk'!B97</f>
        <v>1.55</v>
      </c>
      <c r="C76" s="43" t="s">
        <v>206</v>
      </c>
    </row>
    <row r="77" customFormat="false" ht="14.25" hidden="false" customHeight="true" outlineLevel="0" collapsed="false">
      <c r="A77" s="61" t="s">
        <v>207</v>
      </c>
      <c r="B77" s="63" t="n">
        <f aca="false">'Bin Stickers 100x140 4pk'!B98</f>
        <v>1.9</v>
      </c>
      <c r="C77" s="43" t="s">
        <v>208</v>
      </c>
    </row>
    <row r="78" customFormat="false" ht="14.25" hidden="false" customHeight="true" outlineLevel="0" collapsed="false">
      <c r="A78" s="61" t="s">
        <v>209</v>
      </c>
      <c r="B78" s="63" t="n">
        <f aca="false">'Bin Stickers 100x140 4pk'!B99</f>
        <v>2.9</v>
      </c>
      <c r="C78" s="43" t="s">
        <v>311</v>
      </c>
    </row>
    <row r="79" customFormat="false" ht="54.75" hidden="false" customHeight="true" outlineLevel="0" collapsed="false">
      <c r="A79" s="61" t="s">
        <v>211</v>
      </c>
      <c r="B79" s="63" t="n">
        <f aca="false">'Bin Stickers 100x140 4pk'!B100</f>
        <v>3.9</v>
      </c>
      <c r="C79" s="43" t="s">
        <v>312</v>
      </c>
    </row>
    <row r="80" customFormat="false" ht="45" hidden="false" customHeight="true" outlineLevel="0" collapsed="false">
      <c r="A80" s="61" t="s">
        <v>213</v>
      </c>
      <c r="B80" s="63" t="n">
        <f aca="false">'Bin Stickers 100x140 4pk'!B101</f>
        <v>8.75</v>
      </c>
      <c r="C80" s="43" t="s">
        <v>313</v>
      </c>
    </row>
    <row r="81" customFormat="false" ht="81.75" hidden="false" customHeight="true" outlineLevel="0" collapsed="false">
      <c r="A81" s="61" t="s">
        <v>215</v>
      </c>
      <c r="B81" s="38" t="s">
        <v>207</v>
      </c>
      <c r="C81" s="43" t="s">
        <v>314</v>
      </c>
    </row>
    <row r="82" customFormat="false" ht="14.25" hidden="false" customHeight="true" outlineLevel="0" collapsed="false">
      <c r="A82" s="54" t="s">
        <v>217</v>
      </c>
      <c r="B82" s="55" t="n">
        <f aca="false">INDEX(B75:B80,MATCH(B81,A75:A80,0))</f>
        <v>1.9</v>
      </c>
      <c r="C82" s="61"/>
    </row>
    <row r="84" customFormat="false" ht="14.25" hidden="false" customHeight="true" outlineLevel="0" collapsed="false">
      <c r="A84" s="34" t="s">
        <v>218</v>
      </c>
      <c r="B84" s="61"/>
      <c r="C84" s="61"/>
    </row>
    <row r="85" customFormat="false" ht="14.25" hidden="false" customHeight="true" outlineLevel="0" collapsed="false">
      <c r="A85" s="35" t="s">
        <v>2</v>
      </c>
      <c r="B85" s="62" t="s">
        <v>87</v>
      </c>
      <c r="C85" s="35" t="s">
        <v>5</v>
      </c>
    </row>
    <row r="86" customFormat="false" ht="57" hidden="false" customHeight="true" outlineLevel="0" collapsed="false">
      <c r="A86" s="61" t="s">
        <v>315</v>
      </c>
      <c r="B86" s="63" t="n">
        <f aca="false">'Bin Stickers 100x140 4pk'!B107</f>
        <v>0</v>
      </c>
      <c r="C86" s="43" t="s">
        <v>316</v>
      </c>
    </row>
    <row r="87" customFormat="false" ht="54.75" hidden="false" customHeight="true" outlineLevel="0" collapsed="false">
      <c r="A87" s="61" t="s">
        <v>166</v>
      </c>
      <c r="B87" s="69" t="n">
        <f aca="false">'Bin Stickers 100x140 4pk'!B108</f>
        <v>25</v>
      </c>
      <c r="C87" s="61"/>
    </row>
    <row r="88" customFormat="false" ht="14.25" hidden="false" customHeight="true" outlineLevel="0" collapsed="false">
      <c r="A88" s="54" t="s">
        <v>167</v>
      </c>
      <c r="B88" s="55" t="n">
        <f aca="false">B86/B87</f>
        <v>0</v>
      </c>
      <c r="C88" s="61"/>
    </row>
    <row r="89" customFormat="false" ht="114.75" hidden="false" customHeight="true" outlineLevel="0" collapsed="false">
      <c r="A89" s="61" t="s">
        <v>221</v>
      </c>
      <c r="B89" s="69" t="n">
        <f aca="false">'Bin Stickers 100x140 4pk'!B110</f>
        <v>3</v>
      </c>
      <c r="C89" s="43" t="s">
        <v>317</v>
      </c>
    </row>
    <row r="90" customFormat="false" ht="60" hidden="false" customHeight="true" outlineLevel="0" collapsed="false">
      <c r="A90" s="54" t="s">
        <v>223</v>
      </c>
      <c r="B90" s="55" t="n">
        <f aca="false">B88/B89</f>
        <v>0</v>
      </c>
    </row>
    <row r="92" customFormat="false" ht="15.75" hidden="false" customHeight="true" outlineLevel="0" collapsed="false">
      <c r="A92" s="58" t="s">
        <v>224</v>
      </c>
      <c r="B92" s="59" t="n">
        <f aca="false">B82+B90</f>
        <v>1.9</v>
      </c>
      <c r="C92" s="60" t="s">
        <v>225</v>
      </c>
    </row>
    <row r="94" customFormat="false" ht="19.5" hidden="false" customHeight="true" outlineLevel="0" collapsed="false">
      <c r="A94" s="37" t="s">
        <v>226</v>
      </c>
      <c r="B94" s="37"/>
      <c r="C94" s="37"/>
    </row>
    <row r="95" customFormat="false" ht="15" hidden="false" customHeight="true" outlineLevel="0" collapsed="false">
      <c r="A95" s="35" t="s">
        <v>2</v>
      </c>
      <c r="B95" s="35" t="s">
        <v>227</v>
      </c>
      <c r="C95" s="35" t="s">
        <v>5</v>
      </c>
    </row>
    <row r="96" customFormat="false" ht="15" hidden="false" customHeight="true" outlineLevel="0" collapsed="false">
      <c r="A96" s="61" t="s">
        <v>228</v>
      </c>
      <c r="B96" s="70" t="n">
        <f aca="false">B40</f>
        <v>1.19819534391534</v>
      </c>
      <c r="C96" s="43"/>
    </row>
    <row r="97" customFormat="false" ht="15" hidden="false" customHeight="true" outlineLevel="0" collapsed="false">
      <c r="A97" s="61" t="s">
        <v>229</v>
      </c>
      <c r="B97" s="70" t="n">
        <f aca="false">B70</f>
        <v>0.3879125</v>
      </c>
      <c r="C97" s="43"/>
    </row>
    <row r="98" customFormat="false" ht="15" hidden="false" customHeight="true" outlineLevel="0" collapsed="false">
      <c r="A98" s="61" t="s">
        <v>230</v>
      </c>
      <c r="B98" s="70" t="n">
        <f aca="false">B92</f>
        <v>1.9</v>
      </c>
      <c r="C98" s="43"/>
    </row>
    <row r="99" customFormat="false" ht="14.25" hidden="false" customHeight="true" outlineLevel="0" collapsed="false">
      <c r="A99" s="71" t="s">
        <v>231</v>
      </c>
      <c r="B99" s="72" t="n">
        <f aca="false">B96+B97+B98</f>
        <v>3.48610784391534</v>
      </c>
      <c r="C99" s="33" t="s">
        <v>318</v>
      </c>
    </row>
    <row r="100" customFormat="false" ht="14.25" hidden="false" customHeight="true" outlineLevel="0" collapsed="false">
      <c r="A100" s="61" t="s">
        <v>233</v>
      </c>
      <c r="B100" s="70" t="n">
        <f aca="false">B99/B7</f>
        <v>1.74305392195767</v>
      </c>
      <c r="C100" s="61"/>
    </row>
    <row r="102" customFormat="false" ht="14.25" hidden="false" customHeight="true" outlineLevel="0" collapsed="false">
      <c r="A102" s="61" t="s">
        <v>234</v>
      </c>
      <c r="B102" s="63" t="n">
        <f aca="false">'Recurring Overhead'!B34</f>
        <v>8.32233333333333</v>
      </c>
      <c r="C102" s="73" t="s">
        <v>235</v>
      </c>
    </row>
    <row r="103" customFormat="false" ht="14.25" hidden="false" customHeight="true" outlineLevel="0" collapsed="false">
      <c r="A103" s="61" t="s">
        <v>319</v>
      </c>
      <c r="B103" s="56" t="n">
        <f aca="false">B102*B7</f>
        <v>16.6446666666667</v>
      </c>
    </row>
    <row r="104" customFormat="false" ht="14.25" hidden="false" customHeight="true" outlineLevel="0" collapsed="false">
      <c r="A104" s="54" t="s">
        <v>237</v>
      </c>
      <c r="B104" s="55" t="n">
        <f aca="false">B99+B103</f>
        <v>20.130774510582</v>
      </c>
    </row>
    <row r="105" customFormat="false" ht="14.25" hidden="false" customHeight="true" outlineLevel="0" collapsed="false">
      <c r="A105" s="61" t="s">
        <v>238</v>
      </c>
      <c r="B105" s="70" t="n">
        <f aca="false">B104/B7</f>
        <v>10.065387255291</v>
      </c>
    </row>
    <row r="107" customFormat="false" ht="39.75" hidden="false" customHeight="true" outlineLevel="0" collapsed="false">
      <c r="A107" s="74" t="s">
        <v>320</v>
      </c>
      <c r="B107" s="74"/>
      <c r="C107" s="74"/>
    </row>
    <row r="108" customFormat="false" ht="39.75" hidden="false" customHeight="true" outlineLevel="0" collapsed="false">
      <c r="A108" s="74" t="s">
        <v>321</v>
      </c>
      <c r="B108" s="74"/>
      <c r="C108" s="74"/>
    </row>
  </sheetData>
  <mergeCells count="6">
    <mergeCell ref="A10:C10"/>
    <mergeCell ref="A42:C42"/>
    <mergeCell ref="A72:C72"/>
    <mergeCell ref="A94:C94"/>
    <mergeCell ref="A107:C107"/>
    <mergeCell ref="A108:C108"/>
  </mergeCells>
  <dataValidations count="3">
    <dataValidation allowBlank="false" errorStyle="stop" operator="between" showDropDown="false" showErrorMessage="false" showInputMessage="false" sqref="B22" type="list">
      <formula1>"Y,N"</formula1>
      <formula2>0</formula2>
    </dataValidation>
    <dataValidation allowBlank="false" errorStyle="stop" operator="between" showDropDown="false" showErrorMessage="false" showInputMessage="false" sqref="B49" type="list">
      <formula1>$A$45:$A$48</formula1>
      <formula2>0</formula2>
    </dataValidation>
    <dataValidation allowBlank="false" errorStyle="stop" operator="between" showDropDown="false" showErrorMessage="false" showInputMessage="false" sqref="B81" type="list">
      <formula1>$A$75:$A$80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60"/>
  </cols>
  <sheetData>
    <row r="1" customFormat="false" ht="17.25" hidden="false" customHeight="true" outlineLevel="0" collapsed="false">
      <c r="A1" s="32" t="s">
        <v>322</v>
      </c>
    </row>
    <row r="2" customFormat="false" ht="14.25" hidden="false" customHeight="true" outlineLevel="0" collapsed="false">
      <c r="A2" s="33" t="s">
        <v>278</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323</v>
      </c>
      <c r="C6" s="33" t="s">
        <v>324</v>
      </c>
    </row>
    <row r="7" customFormat="false" ht="14.25" hidden="false" customHeight="true" outlineLevel="0" collapsed="false">
      <c r="A7" s="1" t="s">
        <v>91</v>
      </c>
      <c r="B7" s="36" t="n">
        <v>1</v>
      </c>
      <c r="C7" s="33" t="s">
        <v>325</v>
      </c>
    </row>
    <row r="8" customFormat="false" ht="14.25" hidden="false" customHeight="true" outlineLevel="0" collapsed="false">
      <c r="A8" s="1" t="s">
        <v>93</v>
      </c>
      <c r="B8" s="36" t="n">
        <v>1</v>
      </c>
      <c r="C8" s="33" t="s">
        <v>326</v>
      </c>
    </row>
    <row r="10" customFormat="false" ht="19.5" hidden="false" customHeight="true" outlineLevel="0" collapsed="false">
      <c r="A10" s="37" t="s">
        <v>327</v>
      </c>
      <c r="B10" s="37"/>
      <c r="C10" s="37"/>
    </row>
    <row r="11" customFormat="false" ht="14.25" hidden="false" customHeight="true" outlineLevel="0" collapsed="false">
      <c r="A11" s="34" t="s">
        <v>96</v>
      </c>
    </row>
    <row r="12" customFormat="false" ht="14.25" hidden="false" customHeight="true" outlineLevel="0" collapsed="false">
      <c r="A12" s="35" t="s">
        <v>2</v>
      </c>
      <c r="B12" s="35" t="s">
        <v>97</v>
      </c>
      <c r="C12" s="35" t="s">
        <v>5</v>
      </c>
    </row>
    <row r="13" customFormat="false" ht="14.25" hidden="false" customHeight="true" outlineLevel="0" collapsed="false">
      <c r="A13" s="1" t="s">
        <v>98</v>
      </c>
      <c r="B13" s="63" t="n">
        <f aca="false">'Bin Stickers 100x140 4pk'!B13</f>
        <v>0.35</v>
      </c>
      <c r="C13" s="33" t="s">
        <v>284</v>
      </c>
    </row>
    <row r="14" customFormat="false" ht="14.25" hidden="false" customHeight="true" outlineLevel="0" collapsed="false">
      <c r="A14" s="1" t="s">
        <v>100</v>
      </c>
      <c r="B14" s="63" t="n">
        <f aca="false">'Bin Stickers 100x140 4pk'!B14</f>
        <v>0.35</v>
      </c>
      <c r="C14" s="33" t="s">
        <v>284</v>
      </c>
    </row>
    <row r="15" customFormat="false" ht="14.25" hidden="false" customHeight="true" outlineLevel="0" collapsed="false">
      <c r="A15" s="1" t="s">
        <v>102</v>
      </c>
      <c r="B15" s="63" t="n">
        <f aca="false">'Bin Stickers 100x140 4pk'!B15</f>
        <v>0.1</v>
      </c>
      <c r="C15" s="33" t="s">
        <v>285</v>
      </c>
    </row>
    <row r="16" customFormat="false" ht="14.25" hidden="false" customHeight="true" outlineLevel="0" collapsed="false">
      <c r="A16" s="1" t="s">
        <v>104</v>
      </c>
      <c r="B16" s="39" t="n">
        <f aca="false">SUM(B13:B15)</f>
        <v>0.8</v>
      </c>
    </row>
    <row r="17" customFormat="false" ht="14.25" hidden="false" customHeight="true" outlineLevel="0" collapsed="false">
      <c r="A17" s="1" t="s">
        <v>105</v>
      </c>
      <c r="B17" s="40" t="n">
        <f aca="false">B8</f>
        <v>1</v>
      </c>
    </row>
    <row r="18" customFormat="false" ht="14.25" hidden="false" customHeight="true" outlineLevel="0" collapsed="false">
      <c r="A18" s="1" t="s">
        <v>106</v>
      </c>
      <c r="B18" s="39" t="n">
        <f aca="false">B16*B17</f>
        <v>0.8</v>
      </c>
    </row>
    <row r="20" customFormat="false" ht="15" hidden="false" customHeight="true" outlineLevel="0" collapsed="false">
      <c r="A20" s="34" t="s">
        <v>107</v>
      </c>
    </row>
    <row r="21" customFormat="false" ht="14.25" hidden="false" customHeight="true" outlineLevel="0" collapsed="false">
      <c r="A21" s="35" t="s">
        <v>2</v>
      </c>
      <c r="B21" s="35" t="s">
        <v>87</v>
      </c>
      <c r="C21" s="35" t="s">
        <v>5</v>
      </c>
    </row>
    <row r="22" customFormat="false" ht="14.25" hidden="false" customHeight="true" outlineLevel="0" collapsed="false">
      <c r="A22" s="41" t="s">
        <v>108</v>
      </c>
      <c r="B22" s="42" t="s">
        <v>122</v>
      </c>
      <c r="C22" s="43" t="s">
        <v>286</v>
      </c>
    </row>
    <row r="23" customFormat="false" ht="14.25" hidden="false" customHeight="true" outlineLevel="0" collapsed="false">
      <c r="A23" s="41" t="s">
        <v>111</v>
      </c>
      <c r="B23" s="44" t="n">
        <f aca="false">B8</f>
        <v>1</v>
      </c>
      <c r="C23" s="43" t="s">
        <v>112</v>
      </c>
    </row>
    <row r="24" customFormat="false" ht="14.25" hidden="false" customHeight="true" outlineLevel="0" collapsed="false">
      <c r="A24" s="41" t="s">
        <v>113</v>
      </c>
      <c r="B24" s="45" t="str">
        <f aca="false">'Cricut Costs'!B24</f>
        <v>StandardGrip 12x12</v>
      </c>
      <c r="C24" s="43" t="s">
        <v>114</v>
      </c>
    </row>
    <row r="25" customFormat="false" ht="14.25" hidden="false" customHeight="true" outlineLevel="0" collapsed="false">
      <c r="A25" s="41" t="s">
        <v>115</v>
      </c>
      <c r="B25" s="46" t="n">
        <f aca="false">'Cricut Costs'!E24</f>
        <v>0.0703703703703704</v>
      </c>
      <c r="C25" s="43"/>
    </row>
    <row r="26" customFormat="false" ht="14.25" hidden="false" customHeight="true" outlineLevel="0" collapsed="false">
      <c r="A26" s="41" t="s">
        <v>116</v>
      </c>
      <c r="B26" s="47" t="str">
        <f aca="false">'Cricut Costs'!C24</f>
        <v>Fine-point (Premium)</v>
      </c>
      <c r="C26" s="43"/>
    </row>
    <row r="27" customFormat="false" ht="14.25" hidden="false" customHeight="true" outlineLevel="0" collapsed="false">
      <c r="A27" s="41" t="s">
        <v>117</v>
      </c>
      <c r="B27" s="46" t="n">
        <f aca="false">'Cricut Costs'!F24</f>
        <v>0.0225</v>
      </c>
      <c r="C27" s="43"/>
    </row>
    <row r="28" customFormat="false" ht="14.25" hidden="false" customHeight="true" outlineLevel="0" collapsed="false">
      <c r="A28" s="48" t="s">
        <v>118</v>
      </c>
      <c r="B28" s="46" t="n">
        <f aca="false">'Cricut Costs'!G24</f>
        <v>0.0928703703703704</v>
      </c>
      <c r="C28" s="43"/>
    </row>
    <row r="29" customFormat="false" ht="14.25" hidden="false" customHeight="true" outlineLevel="0" collapsed="false">
      <c r="A29" s="49" t="s">
        <v>119</v>
      </c>
      <c r="B29" s="50" t="n">
        <f aca="false">IF(B22="Y",B28*B23,0)</f>
        <v>0.0928703703703704</v>
      </c>
      <c r="C29" s="43" t="s">
        <v>120</v>
      </c>
    </row>
    <row r="30" customFormat="false" ht="14.25" hidden="false" customHeight="true" outlineLevel="0" collapsed="false">
      <c r="A30" s="51" t="s">
        <v>121</v>
      </c>
      <c r="B30" s="63" t="str">
        <f aca="false">'Bin Stickers 100x140 4pk'!B30</f>
        <v>Y</v>
      </c>
      <c r="C30" s="43" t="s">
        <v>287</v>
      </c>
    </row>
    <row r="31" customFormat="false" ht="28.5" hidden="false" customHeight="true" outlineLevel="0" collapsed="false">
      <c r="A31" s="51" t="s">
        <v>124</v>
      </c>
      <c r="B31" s="53" t="n">
        <f aca="false">IF(B30="Y",'Cricut Costs'!G25*B8,0)</f>
        <v>0.289166666666667</v>
      </c>
      <c r="C31" s="43" t="s">
        <v>288</v>
      </c>
    </row>
    <row r="32" customFormat="false" ht="15" hidden="false" customHeight="true" outlineLevel="0" collapsed="false">
      <c r="A32" s="54" t="s">
        <v>126</v>
      </c>
      <c r="B32" s="55" t="n">
        <f aca="false">B29+B31</f>
        <v>0.382037037037037</v>
      </c>
      <c r="C32" s="43"/>
    </row>
    <row r="34" customFormat="false" ht="15" hidden="false" customHeight="true" outlineLevel="0" collapsed="false">
      <c r="A34" s="34" t="s">
        <v>127</v>
      </c>
    </row>
    <row r="35" customFormat="false" ht="14.25" hidden="false" customHeight="true" outlineLevel="0" collapsed="false">
      <c r="A35" s="35" t="s">
        <v>2</v>
      </c>
      <c r="B35" s="35" t="s">
        <v>87</v>
      </c>
      <c r="C35" s="35" t="s">
        <v>5</v>
      </c>
    </row>
    <row r="36" customFormat="false" ht="14.25" hidden="false" customHeight="true" outlineLevel="0" collapsed="false">
      <c r="A36" s="51" t="s">
        <v>289</v>
      </c>
      <c r="B36" s="63" t="n">
        <f aca="false">'Bin Stickers 100x140 4pk'!B41</f>
        <v>0.00807915343915344</v>
      </c>
      <c r="C36" s="43" t="s">
        <v>287</v>
      </c>
    </row>
    <row r="37" customFormat="false" ht="14.25" hidden="false" customHeight="true" outlineLevel="0" collapsed="false">
      <c r="A37" s="51" t="s">
        <v>138</v>
      </c>
      <c r="B37" s="56" t="n">
        <f aca="false">B7</f>
        <v>1</v>
      </c>
      <c r="C37" s="43" t="s">
        <v>139</v>
      </c>
    </row>
    <row r="38" customFormat="false" ht="14.25" hidden="false" customHeight="true" outlineLevel="0" collapsed="false">
      <c r="A38" s="51" t="s">
        <v>140</v>
      </c>
      <c r="B38" s="57" t="n">
        <f aca="false">B36*B37</f>
        <v>0.00807915343915344</v>
      </c>
      <c r="C38" s="43"/>
    </row>
    <row r="40" customFormat="false" ht="15.75" hidden="false" customHeight="true" outlineLevel="0" collapsed="false">
      <c r="A40" s="58" t="s">
        <v>141</v>
      </c>
      <c r="B40" s="59" t="n">
        <f aca="false">B18+B32+B38</f>
        <v>1.19011619047619</v>
      </c>
      <c r="C40" s="60" t="s">
        <v>142</v>
      </c>
    </row>
    <row r="42" customFormat="false" ht="19.5" hidden="false" customHeight="true" outlineLevel="0" collapsed="false">
      <c r="A42" s="37" t="s">
        <v>290</v>
      </c>
      <c r="B42" s="37"/>
      <c r="C42" s="37"/>
    </row>
    <row r="43" customFormat="false" ht="14.25" hidden="false" customHeight="true" outlineLevel="0" collapsed="false">
      <c r="A43" s="34" t="s">
        <v>328</v>
      </c>
      <c r="B43" s="61"/>
      <c r="C43" s="61"/>
    </row>
    <row r="44" customFormat="false" ht="14.25" hidden="false" customHeight="true" outlineLevel="0" collapsed="false">
      <c r="A44" s="35" t="s">
        <v>145</v>
      </c>
      <c r="B44" s="62" t="s">
        <v>146</v>
      </c>
      <c r="C44" s="35" t="s">
        <v>5</v>
      </c>
    </row>
    <row r="45" customFormat="false" ht="54.75" hidden="false" customHeight="true" outlineLevel="0" collapsed="false">
      <c r="A45" s="61" t="s">
        <v>292</v>
      </c>
      <c r="B45" s="38" t="n">
        <v>0.22</v>
      </c>
      <c r="C45" s="43" t="s">
        <v>329</v>
      </c>
    </row>
    <row r="46" customFormat="false" ht="41.25" hidden="false" customHeight="true" outlineLevel="0" collapsed="false">
      <c r="A46" s="61" t="s">
        <v>294</v>
      </c>
      <c r="B46" s="38" t="n">
        <v>0.24</v>
      </c>
      <c r="C46" s="43" t="s">
        <v>330</v>
      </c>
    </row>
    <row r="47" customFormat="false" ht="54.75" hidden="false" customHeight="true" outlineLevel="0" collapsed="false">
      <c r="A47" s="61" t="s">
        <v>296</v>
      </c>
      <c r="B47" s="38" t="n">
        <v>0.35</v>
      </c>
      <c r="C47" s="43" t="s">
        <v>331</v>
      </c>
    </row>
    <row r="48" customFormat="false" ht="14.25" hidden="false" customHeight="true" outlineLevel="0" collapsed="false">
      <c r="A48" s="61" t="s">
        <v>298</v>
      </c>
      <c r="B48" s="38" t="n">
        <v>0.45</v>
      </c>
      <c r="C48" s="43" t="s">
        <v>332</v>
      </c>
    </row>
    <row r="49" customFormat="false" ht="14.25" hidden="false" customHeight="true" outlineLevel="0" collapsed="false">
      <c r="A49" s="61" t="s">
        <v>300</v>
      </c>
      <c r="B49" s="38" t="s">
        <v>294</v>
      </c>
      <c r="C49" s="43" t="s">
        <v>333</v>
      </c>
    </row>
    <row r="50" customFormat="false" ht="14.25" hidden="false" customHeight="true" outlineLevel="0" collapsed="false">
      <c r="A50" s="54" t="s">
        <v>159</v>
      </c>
      <c r="B50" s="55" t="n">
        <f aca="false">INDEX(B45:B48,MATCH(B49,A45:A48,0))</f>
        <v>0.24</v>
      </c>
      <c r="C50" s="61"/>
    </row>
    <row r="52" customFormat="false" ht="14.25" hidden="false" customHeight="true" outlineLevel="0" collapsed="false">
      <c r="A52" s="1" t="s">
        <v>302</v>
      </c>
    </row>
    <row r="53" customFormat="false" ht="14.25" hidden="false" customHeight="true" outlineLevel="0" collapsed="false">
      <c r="A53" s="1" t="s">
        <v>2</v>
      </c>
      <c r="B53" s="1" t="s">
        <v>97</v>
      </c>
      <c r="C53" s="1" t="s">
        <v>5</v>
      </c>
    </row>
    <row r="54" customFormat="false" ht="54.75" hidden="false" customHeight="true" outlineLevel="0" collapsed="false">
      <c r="A54" s="1" t="s">
        <v>181</v>
      </c>
      <c r="B54" s="82" t="n">
        <f aca="false">'Bin Stickers 100x140 4pk'!B75</f>
        <v>0.06</v>
      </c>
      <c r="C54" s="1" t="s">
        <v>182</v>
      </c>
    </row>
    <row r="55" customFormat="false" ht="27.75" hidden="false" customHeight="true" outlineLevel="0" collapsed="false">
      <c r="A55" s="1" t="s">
        <v>183</v>
      </c>
      <c r="B55" s="82" t="n">
        <f aca="false">'Bin Stickers 100x140 4pk'!B76</f>
        <v>0.1</v>
      </c>
      <c r="C55" s="1" t="s">
        <v>303</v>
      </c>
    </row>
    <row r="56" customFormat="false" ht="27.75" hidden="false" customHeight="true" outlineLevel="0" collapsed="false">
      <c r="A56" s="1" t="s">
        <v>185</v>
      </c>
      <c r="B56" s="1" t="n">
        <f aca="false">SUM(B54:B55)</f>
        <v>0.16</v>
      </c>
    </row>
    <row r="58" customFormat="false" ht="27.75" hidden="false" customHeight="true" outlineLevel="0" collapsed="false">
      <c r="A58" s="34" t="s">
        <v>304</v>
      </c>
    </row>
    <row r="59" customFormat="false" ht="27.75" hidden="false" customHeight="true" outlineLevel="0" collapsed="false">
      <c r="A59" s="35" t="s">
        <v>2</v>
      </c>
      <c r="B59" s="62" t="s">
        <v>97</v>
      </c>
      <c r="C59" s="35" t="s">
        <v>5</v>
      </c>
    </row>
    <row r="60" customFormat="false" ht="27.75" hidden="false" customHeight="true" outlineLevel="0" collapsed="false">
      <c r="A60" s="1" t="s">
        <v>305</v>
      </c>
      <c r="B60" s="63" t="n">
        <f aca="false">'Bin Stickers 100x140 4pk'!B81</f>
        <v>8.99</v>
      </c>
      <c r="C60" s="1" t="s">
        <v>284</v>
      </c>
    </row>
    <row r="61" customFormat="false" ht="27.75" hidden="false" customHeight="true" outlineLevel="0" collapsed="false">
      <c r="A61" s="1" t="s">
        <v>166</v>
      </c>
      <c r="B61" s="69" t="n">
        <f aca="false">'Bin Stickers 100x140 4pk'!B82</f>
        <v>100</v>
      </c>
    </row>
    <row r="62" customFormat="false" ht="27.75" hidden="false" customHeight="true" outlineLevel="0" collapsed="false">
      <c r="A62" s="1" t="s">
        <v>189</v>
      </c>
      <c r="B62" s="66" t="n">
        <f aca="false">B60/B61</f>
        <v>0.0899</v>
      </c>
    </row>
    <row r="63" customFormat="false" ht="27.75" hidden="false" customHeight="true" outlineLevel="0" collapsed="false">
      <c r="A63" s="1" t="s">
        <v>190</v>
      </c>
      <c r="B63" s="63" t="n">
        <f aca="false">'Bin Stickers 100x140 4pk'!B84</f>
        <v>0.1</v>
      </c>
      <c r="C63" s="1" t="s">
        <v>306</v>
      </c>
    </row>
    <row r="64" customFormat="false" ht="27.75" hidden="false" customHeight="true" outlineLevel="0" collapsed="false">
      <c r="A64" s="1" t="s">
        <v>191</v>
      </c>
      <c r="B64" s="66" t="n">
        <f aca="false">B62+B63</f>
        <v>0.1899</v>
      </c>
    </row>
    <row r="65" customFormat="false" ht="27.75" hidden="false" customHeight="true" outlineLevel="0" collapsed="false">
      <c r="A65" s="1" t="s">
        <v>192</v>
      </c>
      <c r="B65" s="69" t="n">
        <f aca="false">'Bin Stickers 100x140 4pk'!B86</f>
        <v>24</v>
      </c>
    </row>
    <row r="66" customFormat="false" ht="27.75" hidden="false" customHeight="true" outlineLevel="0" collapsed="false">
      <c r="A66" s="1" t="s">
        <v>193</v>
      </c>
      <c r="B66" s="66" t="n">
        <f aca="false">B64/B65</f>
        <v>0.0079125</v>
      </c>
    </row>
    <row r="67" customFormat="false" ht="27.75" hidden="false" customHeight="true" outlineLevel="0" collapsed="false">
      <c r="A67" s="1" t="s">
        <v>194</v>
      </c>
      <c r="B67" s="69" t="n">
        <f aca="false">'Bin Stickers 100x140 4pk'!B88</f>
        <v>1</v>
      </c>
      <c r="C67" s="1" t="s">
        <v>307</v>
      </c>
    </row>
    <row r="68" customFormat="false" ht="27.75" hidden="false" customHeight="true" outlineLevel="0" collapsed="false">
      <c r="A68" s="1" t="s">
        <v>196</v>
      </c>
      <c r="B68" s="66" t="n">
        <f aca="false">B66*B67</f>
        <v>0.0079125</v>
      </c>
    </row>
    <row r="70" customFormat="false" ht="31.5" hidden="false" customHeight="true" outlineLevel="0" collapsed="false">
      <c r="A70" s="58" t="s">
        <v>197</v>
      </c>
      <c r="B70" s="59" t="n">
        <f aca="false">B50+B56+B68</f>
        <v>0.4079125</v>
      </c>
      <c r="C70" s="60" t="s">
        <v>308</v>
      </c>
    </row>
    <row r="72" customFormat="false" ht="19.5" hidden="false" customHeight="true" outlineLevel="0" collapsed="false">
      <c r="A72" s="37" t="s">
        <v>199</v>
      </c>
      <c r="B72" s="37"/>
      <c r="C72" s="37"/>
    </row>
    <row r="73" customFormat="false" ht="28.5" hidden="false" customHeight="true" outlineLevel="0" collapsed="false">
      <c r="A73" s="34" t="s">
        <v>309</v>
      </c>
      <c r="B73" s="61"/>
      <c r="C73" s="61"/>
    </row>
    <row r="74" customFormat="false" ht="27.75" hidden="false" customHeight="true" outlineLevel="0" collapsed="false">
      <c r="A74" s="35" t="s">
        <v>201</v>
      </c>
      <c r="B74" s="62" t="s">
        <v>202</v>
      </c>
      <c r="C74" s="35" t="s">
        <v>5</v>
      </c>
    </row>
    <row r="75" customFormat="false" ht="14.25" hidden="false" customHeight="true" outlineLevel="0" collapsed="false">
      <c r="A75" s="61" t="s">
        <v>203</v>
      </c>
      <c r="B75" s="63" t="n">
        <f aca="false">'Bin Stickers 100x140 4pk'!B96</f>
        <v>0.91</v>
      </c>
      <c r="C75" s="43" t="s">
        <v>310</v>
      </c>
    </row>
    <row r="76" customFormat="false" ht="14.25" hidden="false" customHeight="true" outlineLevel="0" collapsed="false">
      <c r="A76" s="61" t="s">
        <v>205</v>
      </c>
      <c r="B76" s="63" t="n">
        <f aca="false">'Bin Stickers 100x140 4pk'!B97</f>
        <v>1.55</v>
      </c>
      <c r="C76" s="43" t="s">
        <v>206</v>
      </c>
    </row>
    <row r="77" customFormat="false" ht="14.25" hidden="false" customHeight="true" outlineLevel="0" collapsed="false">
      <c r="A77" s="61" t="s">
        <v>207</v>
      </c>
      <c r="B77" s="63" t="n">
        <f aca="false">'Bin Stickers 100x140 4pk'!B98</f>
        <v>1.9</v>
      </c>
      <c r="C77" s="43" t="s">
        <v>208</v>
      </c>
    </row>
    <row r="78" customFormat="false" ht="14.25" hidden="false" customHeight="true" outlineLevel="0" collapsed="false">
      <c r="A78" s="61" t="s">
        <v>209</v>
      </c>
      <c r="B78" s="63" t="n">
        <f aca="false">'Bin Stickers 100x140 4pk'!B99</f>
        <v>2.9</v>
      </c>
      <c r="C78" s="43" t="s">
        <v>311</v>
      </c>
    </row>
    <row r="79" customFormat="false" ht="54.75" hidden="false" customHeight="true" outlineLevel="0" collapsed="false">
      <c r="A79" s="61" t="s">
        <v>211</v>
      </c>
      <c r="B79" s="63" t="n">
        <f aca="false">'Bin Stickers 100x140 4pk'!B100</f>
        <v>3.9</v>
      </c>
      <c r="C79" s="43" t="s">
        <v>312</v>
      </c>
    </row>
    <row r="80" customFormat="false" ht="45" hidden="false" customHeight="true" outlineLevel="0" collapsed="false">
      <c r="A80" s="61" t="s">
        <v>213</v>
      </c>
      <c r="B80" s="63" t="n">
        <f aca="false">'Bin Stickers 100x140 4pk'!B101</f>
        <v>8.75</v>
      </c>
      <c r="C80" s="43" t="s">
        <v>313</v>
      </c>
    </row>
    <row r="81" customFormat="false" ht="81.75" hidden="false" customHeight="true" outlineLevel="0" collapsed="false">
      <c r="A81" s="61" t="s">
        <v>215</v>
      </c>
      <c r="B81" s="38" t="s">
        <v>207</v>
      </c>
      <c r="C81" s="43" t="s">
        <v>334</v>
      </c>
    </row>
    <row r="82" customFormat="false" ht="14.25" hidden="false" customHeight="true" outlineLevel="0" collapsed="false">
      <c r="A82" s="54" t="s">
        <v>217</v>
      </c>
      <c r="B82" s="55" t="n">
        <f aca="false">INDEX(B75:B80,MATCH(B81,A75:A80,0))</f>
        <v>1.9</v>
      </c>
      <c r="C82" s="61"/>
    </row>
    <row r="84" customFormat="false" ht="14.25" hidden="false" customHeight="true" outlineLevel="0" collapsed="false">
      <c r="A84" s="34" t="s">
        <v>218</v>
      </c>
      <c r="B84" s="61"/>
      <c r="C84" s="61"/>
    </row>
    <row r="85" customFormat="false" ht="14.25" hidden="false" customHeight="true" outlineLevel="0" collapsed="false">
      <c r="A85" s="35" t="s">
        <v>2</v>
      </c>
      <c r="B85" s="62" t="s">
        <v>87</v>
      </c>
      <c r="C85" s="35" t="s">
        <v>5</v>
      </c>
    </row>
    <row r="86" customFormat="false" ht="57" hidden="false" customHeight="true" outlineLevel="0" collapsed="false">
      <c r="A86" s="61" t="s">
        <v>315</v>
      </c>
      <c r="B86" s="63" t="n">
        <f aca="false">'Bin Stickers 100x140 4pk'!B107</f>
        <v>0</v>
      </c>
      <c r="C86" s="43" t="s">
        <v>316</v>
      </c>
    </row>
    <row r="87" customFormat="false" ht="54.75" hidden="false" customHeight="true" outlineLevel="0" collapsed="false">
      <c r="A87" s="61" t="s">
        <v>166</v>
      </c>
      <c r="B87" s="69" t="n">
        <f aca="false">'Bin Stickers 100x140 4pk'!B108</f>
        <v>25</v>
      </c>
      <c r="C87" s="61"/>
    </row>
    <row r="88" customFormat="false" ht="14.25" hidden="false" customHeight="true" outlineLevel="0" collapsed="false">
      <c r="A88" s="54" t="s">
        <v>167</v>
      </c>
      <c r="B88" s="55" t="n">
        <f aca="false">B86/B87</f>
        <v>0</v>
      </c>
      <c r="C88" s="61"/>
    </row>
    <row r="89" customFormat="false" ht="114.75" hidden="false" customHeight="true" outlineLevel="0" collapsed="false">
      <c r="A89" s="61" t="s">
        <v>221</v>
      </c>
      <c r="B89" s="69" t="n">
        <f aca="false">'Bin Stickers 100x140 4pk'!B110</f>
        <v>3</v>
      </c>
      <c r="C89" s="43" t="s">
        <v>317</v>
      </c>
    </row>
    <row r="90" customFormat="false" ht="60" hidden="false" customHeight="true" outlineLevel="0" collapsed="false">
      <c r="A90" s="54" t="s">
        <v>223</v>
      </c>
      <c r="B90" s="55" t="n">
        <f aca="false">B88/B89</f>
        <v>0</v>
      </c>
    </row>
    <row r="92" customFormat="false" ht="15.75" hidden="false" customHeight="true" outlineLevel="0" collapsed="false">
      <c r="A92" s="58" t="s">
        <v>224</v>
      </c>
      <c r="B92" s="59" t="n">
        <f aca="false">B82+B90</f>
        <v>1.9</v>
      </c>
      <c r="C92" s="60" t="s">
        <v>225</v>
      </c>
    </row>
    <row r="94" customFormat="false" ht="19.5" hidden="false" customHeight="true" outlineLevel="0" collapsed="false">
      <c r="A94" s="37" t="s">
        <v>226</v>
      </c>
      <c r="B94" s="37"/>
      <c r="C94" s="37"/>
    </row>
    <row r="95" customFormat="false" ht="15" hidden="false" customHeight="true" outlineLevel="0" collapsed="false">
      <c r="A95" s="35" t="s">
        <v>2</v>
      </c>
      <c r="B95" s="35" t="s">
        <v>227</v>
      </c>
      <c r="C95" s="35" t="s">
        <v>5</v>
      </c>
    </row>
    <row r="96" customFormat="false" ht="15" hidden="false" customHeight="true" outlineLevel="0" collapsed="false">
      <c r="A96" s="61" t="s">
        <v>228</v>
      </c>
      <c r="B96" s="70" t="n">
        <f aca="false">B40</f>
        <v>1.19011619047619</v>
      </c>
      <c r="C96" s="43"/>
    </row>
    <row r="97" customFormat="false" ht="15" hidden="false" customHeight="true" outlineLevel="0" collapsed="false">
      <c r="A97" s="61" t="s">
        <v>229</v>
      </c>
      <c r="B97" s="70" t="n">
        <f aca="false">B70</f>
        <v>0.4079125</v>
      </c>
      <c r="C97" s="43"/>
    </row>
    <row r="98" customFormat="false" ht="15" hidden="false" customHeight="true" outlineLevel="0" collapsed="false">
      <c r="A98" s="61" t="s">
        <v>230</v>
      </c>
      <c r="B98" s="70" t="n">
        <f aca="false">B92</f>
        <v>1.9</v>
      </c>
      <c r="C98" s="43"/>
    </row>
    <row r="99" customFormat="false" ht="14.25" hidden="false" customHeight="true" outlineLevel="0" collapsed="false">
      <c r="A99" s="71" t="s">
        <v>231</v>
      </c>
      <c r="B99" s="72" t="n">
        <f aca="false">B96+B97+B98</f>
        <v>3.49802869047619</v>
      </c>
      <c r="C99" s="33" t="s">
        <v>318</v>
      </c>
    </row>
    <row r="100" customFormat="false" ht="14.25" hidden="false" customHeight="true" outlineLevel="0" collapsed="false">
      <c r="A100" s="61" t="s">
        <v>233</v>
      </c>
      <c r="B100" s="70" t="n">
        <f aca="false">B99/B7</f>
        <v>3.49802869047619</v>
      </c>
      <c r="C100" s="61"/>
    </row>
    <row r="102" customFormat="false" ht="14.25" hidden="false" customHeight="true" outlineLevel="0" collapsed="false">
      <c r="A102" s="61" t="s">
        <v>234</v>
      </c>
      <c r="B102" s="63" t="n">
        <f aca="false">'Recurring Overhead'!B34</f>
        <v>8.32233333333333</v>
      </c>
      <c r="C102" s="73" t="s">
        <v>235</v>
      </c>
    </row>
    <row r="103" customFormat="false" ht="14.25" hidden="false" customHeight="true" outlineLevel="0" collapsed="false">
      <c r="A103" s="61" t="s">
        <v>335</v>
      </c>
      <c r="B103" s="56" t="n">
        <f aca="false">B102*B7</f>
        <v>8.32233333333333</v>
      </c>
    </row>
    <row r="104" customFormat="false" ht="14.25" hidden="false" customHeight="true" outlineLevel="0" collapsed="false">
      <c r="A104" s="54" t="s">
        <v>237</v>
      </c>
      <c r="B104" s="55" t="n">
        <f aca="false">B99+B103</f>
        <v>11.8203620238095</v>
      </c>
    </row>
    <row r="105" customFormat="false" ht="14.25" hidden="false" customHeight="true" outlineLevel="0" collapsed="false">
      <c r="A105" s="61" t="s">
        <v>238</v>
      </c>
      <c r="B105" s="70" t="n">
        <f aca="false">B104/B7</f>
        <v>11.8203620238095</v>
      </c>
    </row>
    <row r="107" customFormat="false" ht="39.75" hidden="false" customHeight="true" outlineLevel="0" collapsed="false">
      <c r="A107" s="74" t="s">
        <v>320</v>
      </c>
      <c r="B107" s="74"/>
      <c r="C107" s="74"/>
    </row>
    <row r="108" customFormat="false" ht="39.75" hidden="false" customHeight="true" outlineLevel="0" collapsed="false">
      <c r="A108" s="74" t="s">
        <v>321</v>
      </c>
      <c r="B108" s="74"/>
      <c r="C108" s="74"/>
    </row>
  </sheetData>
  <mergeCells count="6">
    <mergeCell ref="A10:C10"/>
    <mergeCell ref="A42:C42"/>
    <mergeCell ref="A72:C72"/>
    <mergeCell ref="A94:C94"/>
    <mergeCell ref="A107:C107"/>
    <mergeCell ref="A108:C108"/>
  </mergeCells>
  <dataValidations count="3">
    <dataValidation allowBlank="false" errorStyle="stop" operator="between" showDropDown="false" showErrorMessage="false" showInputMessage="false" sqref="B22" type="list">
      <formula1>"Y,N"</formula1>
      <formula2>0</formula2>
    </dataValidation>
    <dataValidation allowBlank="false" errorStyle="stop" operator="between" showDropDown="false" showErrorMessage="false" showInputMessage="false" sqref="B49" type="list">
      <formula1>$A$45:$A$48</formula1>
      <formula2>0</formula2>
    </dataValidation>
    <dataValidation allowBlank="false" errorStyle="stop" operator="between" showDropDown="false" showErrorMessage="false" showInputMessage="false" sqref="B81" type="list">
      <formula1>$A$75:$A$80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26" activeCellId="0" sqref="A26"/>
    </sheetView>
  </sheetViews>
  <sheetFormatPr defaultColWidth="8.66796875" defaultRowHeight="15"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3" min="3" style="1" width="20"/>
    <col collapsed="false" customWidth="true" hidden="false" outlineLevel="0" max="8" min="4" style="1" width="14"/>
    <col collapsed="false" customWidth="true" hidden="false" outlineLevel="0" max="9" min="9" style="1" width="60"/>
  </cols>
  <sheetData>
    <row r="1" customFormat="false" ht="54" hidden="false" customHeight="true" outlineLevel="0" collapsed="false">
      <c r="A1" s="83" t="s">
        <v>336</v>
      </c>
    </row>
    <row r="2" customFormat="false" ht="42" hidden="false" customHeight="true" outlineLevel="0" collapsed="false">
      <c r="A2" s="74" t="s">
        <v>337</v>
      </c>
      <c r="B2" s="74"/>
      <c r="C2" s="74"/>
      <c r="D2" s="74"/>
      <c r="E2" s="74"/>
      <c r="F2" s="74"/>
      <c r="G2" s="74"/>
      <c r="H2" s="74"/>
      <c r="I2" s="74"/>
    </row>
    <row r="4" customFormat="false" ht="14.25" hidden="false" customHeight="true" outlineLevel="0" collapsed="false">
      <c r="A4" s="84" t="s">
        <v>338</v>
      </c>
    </row>
    <row r="5" customFormat="false" ht="28.5" hidden="false" customHeight="true" outlineLevel="0" collapsed="false">
      <c r="A5" s="85" t="s">
        <v>339</v>
      </c>
      <c r="B5" s="85" t="s">
        <v>340</v>
      </c>
      <c r="C5" s="85" t="s">
        <v>341</v>
      </c>
      <c r="D5" s="85" t="s">
        <v>342</v>
      </c>
      <c r="E5" s="85" t="s">
        <v>343</v>
      </c>
      <c r="F5" s="85" t="s">
        <v>344</v>
      </c>
      <c r="G5" s="85" t="s">
        <v>345</v>
      </c>
      <c r="H5" s="85" t="s">
        <v>346</v>
      </c>
      <c r="I5" s="85" t="s">
        <v>347</v>
      </c>
    </row>
    <row r="6" customFormat="false" ht="72" hidden="false" customHeight="true" outlineLevel="0" collapsed="false">
      <c r="A6" s="48" t="s">
        <v>348</v>
      </c>
      <c r="B6" s="41" t="s">
        <v>349</v>
      </c>
      <c r="C6" s="41" t="s">
        <v>350</v>
      </c>
      <c r="D6" s="86" t="n">
        <v>19</v>
      </c>
      <c r="E6" s="87" t="n">
        <v>6</v>
      </c>
      <c r="F6" s="50" t="n">
        <f aca="false">IF(OR(D6="",E6=""),"",D6/E6)</f>
        <v>3.16666666666667</v>
      </c>
      <c r="G6" s="87" t="n">
        <v>45</v>
      </c>
      <c r="H6" s="88" t="n">
        <f aca="false">IF(OR(F6="",G6=""),"",F6/G6)</f>
        <v>0.0703703703703704</v>
      </c>
      <c r="I6" s="43" t="s">
        <v>351</v>
      </c>
    </row>
    <row r="7" customFormat="false" ht="72" hidden="false" customHeight="true" outlineLevel="0" collapsed="false">
      <c r="A7" s="48" t="s">
        <v>352</v>
      </c>
      <c r="B7" s="41" t="s">
        <v>353</v>
      </c>
      <c r="C7" s="41" t="s">
        <v>350</v>
      </c>
      <c r="D7" s="86" t="n">
        <v>24</v>
      </c>
      <c r="E7" s="87" t="n">
        <v>2</v>
      </c>
      <c r="F7" s="50" t="n">
        <f aca="false">IF(OR(D7="",E7=""),"",D7/E7)</f>
        <v>12</v>
      </c>
      <c r="G7" s="87" t="n">
        <v>45</v>
      </c>
      <c r="H7" s="88" t="n">
        <f aca="false">IF(OR(F7="",G7=""),"",F7/G7)</f>
        <v>0.266666666666667</v>
      </c>
      <c r="I7" s="43" t="s">
        <v>354</v>
      </c>
    </row>
    <row r="8" customFormat="false" ht="14.25" hidden="false" customHeight="true" outlineLevel="0" collapsed="false">
      <c r="A8" s="41"/>
      <c r="B8" s="41"/>
      <c r="C8" s="41"/>
      <c r="D8" s="86"/>
      <c r="E8" s="87"/>
      <c r="F8" s="50" t="str">
        <f aca="false">IF(OR(D8="",E8=""),"",D8/E8)</f>
        <v/>
      </c>
      <c r="G8" s="87"/>
      <c r="H8" s="88" t="str">
        <f aca="false">IF(OR(F8="",G8=""),"",F8/G8)</f>
        <v/>
      </c>
      <c r="I8" s="43" t="s">
        <v>355</v>
      </c>
    </row>
    <row r="9" customFormat="false" ht="14.25" hidden="false" customHeight="true" outlineLevel="0" collapsed="false">
      <c r="A9" s="41"/>
      <c r="B9" s="41"/>
      <c r="C9" s="41"/>
      <c r="D9" s="86"/>
      <c r="E9" s="87"/>
      <c r="F9" s="50" t="str">
        <f aca="false">IF(OR(D9="",E9=""),"",D9/E9)</f>
        <v/>
      </c>
      <c r="G9" s="87"/>
      <c r="H9" s="88" t="str">
        <f aca="false">IF(OR(F9="",G9=""),"",F9/G9)</f>
        <v/>
      </c>
      <c r="I9" s="43"/>
    </row>
    <row r="10" customFormat="false" ht="14.25" hidden="false" customHeight="true" outlineLevel="0" collapsed="false">
      <c r="A10" s="41"/>
      <c r="B10" s="41"/>
      <c r="C10" s="41"/>
      <c r="D10" s="86"/>
      <c r="E10" s="87"/>
      <c r="F10" s="50" t="str">
        <f aca="false">IF(OR(D10="",E10=""),"",D10/E10)</f>
        <v/>
      </c>
      <c r="G10" s="87"/>
      <c r="H10" s="88" t="str">
        <f aca="false">IF(OR(F10="",G10=""),"",F10/G10)</f>
        <v/>
      </c>
      <c r="I10" s="43"/>
    </row>
    <row r="11" customFormat="false" ht="14.25" hidden="false" customHeight="true" outlineLevel="0" collapsed="false">
      <c r="A11" s="41"/>
      <c r="B11" s="41"/>
      <c r="C11" s="41"/>
      <c r="D11" s="86"/>
      <c r="E11" s="87"/>
      <c r="F11" s="50" t="str">
        <f aca="false">IF(OR(D11="",E11=""),"",D11/E11)</f>
        <v/>
      </c>
      <c r="G11" s="87"/>
      <c r="H11" s="88" t="str">
        <f aca="false">IF(OR(F11="",G11=""),"",F11/G11)</f>
        <v/>
      </c>
      <c r="I11" s="43"/>
    </row>
    <row r="12" customFormat="false" ht="14.25" hidden="false" customHeight="true" outlineLevel="0" collapsed="false">
      <c r="A12" s="41"/>
      <c r="B12" s="41"/>
      <c r="C12" s="41"/>
      <c r="D12" s="86"/>
      <c r="E12" s="87"/>
      <c r="F12" s="50" t="str">
        <f aca="false">IF(OR(D12="",E12=""),"",D12/E12)</f>
        <v/>
      </c>
      <c r="G12" s="87"/>
      <c r="H12" s="88" t="str">
        <f aca="false">IF(OR(F12="",G12=""),"",F12/G12)</f>
        <v/>
      </c>
      <c r="I12" s="43"/>
    </row>
    <row r="13" customFormat="false" ht="14.25" hidden="false" customHeight="true" outlineLevel="0" collapsed="false">
      <c r="A13" s="41"/>
      <c r="B13" s="41"/>
      <c r="C13" s="41"/>
      <c r="D13" s="86"/>
      <c r="E13" s="87"/>
      <c r="F13" s="50" t="str">
        <f aca="false">IF(OR(D13="",E13=""),"",D13/E13)</f>
        <v/>
      </c>
      <c r="G13" s="87"/>
      <c r="H13" s="88" t="str">
        <f aca="false">IF(OR(F13="",G13=""),"",F13/G13)</f>
        <v/>
      </c>
      <c r="I13" s="43"/>
    </row>
    <row r="15" customFormat="false" ht="14.25" hidden="false" customHeight="true" outlineLevel="0" collapsed="false">
      <c r="A15" s="84" t="s">
        <v>356</v>
      </c>
    </row>
    <row r="16" customFormat="false" ht="28.5" hidden="false" customHeight="true" outlineLevel="0" collapsed="false">
      <c r="A16" s="85" t="s">
        <v>357</v>
      </c>
      <c r="B16" s="85" t="s">
        <v>358</v>
      </c>
      <c r="C16" s="85"/>
      <c r="D16" s="85" t="s">
        <v>342</v>
      </c>
      <c r="E16" s="85" t="s">
        <v>359</v>
      </c>
      <c r="F16" s="85" t="s">
        <v>360</v>
      </c>
      <c r="G16" s="85" t="s">
        <v>361</v>
      </c>
      <c r="H16" s="85" t="s">
        <v>362</v>
      </c>
      <c r="I16" s="85" t="s">
        <v>347</v>
      </c>
    </row>
    <row r="17" customFormat="false" ht="42.75" hidden="false" customHeight="true" outlineLevel="0" collapsed="false">
      <c r="A17" s="48" t="s">
        <v>363</v>
      </c>
      <c r="B17" s="41" t="s">
        <v>364</v>
      </c>
      <c r="C17" s="41"/>
      <c r="D17" s="86" t="n">
        <v>9</v>
      </c>
      <c r="E17" s="87" t="n">
        <v>2</v>
      </c>
      <c r="F17" s="50" t="n">
        <f aca="false">IF(OR(D17="",E17=""),"",D17/E17)</f>
        <v>4.5</v>
      </c>
      <c r="G17" s="87" t="n">
        <v>200</v>
      </c>
      <c r="H17" s="88" t="n">
        <f aca="false">IF(OR(F17="",G17=""),"",F17/G17)</f>
        <v>0.0225</v>
      </c>
      <c r="I17" s="43" t="s">
        <v>365</v>
      </c>
    </row>
    <row r="18" customFormat="false" ht="14.25" hidden="false" customHeight="true" outlineLevel="0" collapsed="false">
      <c r="A18" s="41"/>
      <c r="B18" s="41"/>
      <c r="C18" s="41"/>
      <c r="D18" s="86"/>
      <c r="E18" s="87"/>
      <c r="F18" s="50" t="str">
        <f aca="false">IF(OR(D18="",E18=""),"",D18/E18)</f>
        <v/>
      </c>
      <c r="G18" s="87"/>
      <c r="H18" s="88" t="str">
        <f aca="false">IF(OR(F18="",G18=""),"",F18/G18)</f>
        <v/>
      </c>
      <c r="I18" s="43" t="s">
        <v>366</v>
      </c>
    </row>
    <row r="19" customFormat="false" ht="14.25" hidden="false" customHeight="true" outlineLevel="0" collapsed="false">
      <c r="A19" s="41"/>
      <c r="B19" s="41"/>
      <c r="C19" s="41"/>
      <c r="D19" s="86"/>
      <c r="E19" s="87"/>
      <c r="F19" s="50" t="str">
        <f aca="false">IF(OR(D19="",E19=""),"",D19/E19)</f>
        <v/>
      </c>
      <c r="G19" s="87"/>
      <c r="H19" s="88" t="str">
        <f aca="false">IF(OR(F19="",G19=""),"",F19/G19)</f>
        <v/>
      </c>
      <c r="I19" s="43"/>
    </row>
    <row r="20" customFormat="false" ht="14.25" hidden="false" customHeight="true" outlineLevel="0" collapsed="false">
      <c r="A20" s="41"/>
      <c r="B20" s="41"/>
      <c r="C20" s="41"/>
      <c r="D20" s="86"/>
      <c r="E20" s="87"/>
      <c r="F20" s="50" t="str">
        <f aca="false">IF(OR(D20="",E20=""),"",D20/E20)</f>
        <v/>
      </c>
      <c r="G20" s="87"/>
      <c r="H20" s="88" t="str">
        <f aca="false">IF(OR(F20="",G20=""),"",F20/G20)</f>
        <v/>
      </c>
      <c r="I20" s="43"/>
    </row>
    <row r="22" customFormat="false" ht="14.25" hidden="false" customHeight="true" outlineLevel="0" collapsed="false">
      <c r="A22" s="84" t="s">
        <v>367</v>
      </c>
    </row>
    <row r="23" customFormat="false" ht="28.5" hidden="false" customHeight="true" outlineLevel="0" collapsed="false">
      <c r="A23" s="85" t="s">
        <v>368</v>
      </c>
      <c r="B23" s="85" t="s">
        <v>369</v>
      </c>
      <c r="C23" s="85" t="s">
        <v>370</v>
      </c>
      <c r="D23" s="85" t="s">
        <v>371</v>
      </c>
      <c r="E23" s="85" t="s">
        <v>115</v>
      </c>
      <c r="F23" s="85" t="s">
        <v>117</v>
      </c>
      <c r="G23" s="85" t="s">
        <v>372</v>
      </c>
      <c r="H23" s="85" t="s">
        <v>373</v>
      </c>
      <c r="I23" s="85" t="s">
        <v>5</v>
      </c>
    </row>
    <row r="24" customFormat="false" ht="57" hidden="false" customHeight="true" outlineLevel="0" collapsed="false">
      <c r="A24" s="48" t="s">
        <v>374</v>
      </c>
      <c r="B24" s="89" t="s">
        <v>348</v>
      </c>
      <c r="C24" s="89" t="s">
        <v>363</v>
      </c>
      <c r="D24" s="87" t="n">
        <v>1</v>
      </c>
      <c r="E24" s="88" t="n">
        <f aca="false">IF(B24="","",INDEX($H$6:$H$13,MATCH(B24,$A$6:$A$13,0)))</f>
        <v>0.0703703703703704</v>
      </c>
      <c r="F24" s="88" t="n">
        <f aca="false">IF(C24="","",INDEX($H$17:$H$20,MATCH(C24,$A$17:$A$20,0)))</f>
        <v>0.0225</v>
      </c>
      <c r="G24" s="88" t="n">
        <f aca="false">IF(OR(E24="",F24="",D24=""),"",(E24+F24)/D24)</f>
        <v>0.0928703703703704</v>
      </c>
      <c r="H24" s="43" t="s">
        <v>375</v>
      </c>
      <c r="I24" s="43" t="s">
        <v>376</v>
      </c>
    </row>
    <row r="25" customFormat="false" ht="42.75" hidden="false" customHeight="true" outlineLevel="0" collapsed="false">
      <c r="A25" s="48" t="s">
        <v>377</v>
      </c>
      <c r="B25" s="89" t="s">
        <v>352</v>
      </c>
      <c r="C25" s="89" t="s">
        <v>363</v>
      </c>
      <c r="D25" s="87" t="n">
        <v>1</v>
      </c>
      <c r="E25" s="88" t="n">
        <f aca="false">IF(B25="","",INDEX($H$6:$H$13,MATCH(B25,$A$6:$A$13,0)))</f>
        <v>0.266666666666667</v>
      </c>
      <c r="F25" s="88" t="n">
        <f aca="false">IF(C25="","",INDEX($H$17:$H$20,MATCH(C25,$A$17:$A$20,0)))</f>
        <v>0.0225</v>
      </c>
      <c r="G25" s="88" t="n">
        <f aca="false">IF(OR(E25="",F25="",D25=""),"",(E25+F25)/D25)</f>
        <v>0.289166666666667</v>
      </c>
      <c r="H25" s="43" t="s">
        <v>378</v>
      </c>
      <c r="I25" s="43" t="s">
        <v>379</v>
      </c>
    </row>
    <row r="26" customFormat="false" ht="28.5" hidden="false" customHeight="true" outlineLevel="0" collapsed="false">
      <c r="A26" s="48" t="s">
        <v>380</v>
      </c>
      <c r="B26" s="89" t="s">
        <v>348</v>
      </c>
      <c r="C26" s="89" t="s">
        <v>363</v>
      </c>
      <c r="D26" s="87" t="n">
        <v>1</v>
      </c>
      <c r="E26" s="88" t="n">
        <f aca="false">IF(B26="","",INDEX($H$6:$H$13,MATCH(B26,$A$6:$A$13,0)))</f>
        <v>0.0703703703703704</v>
      </c>
      <c r="F26" s="88" t="n">
        <f aca="false">IF(C26="","",INDEX($H$17:$H$20,MATCH(C26,$A$17:$A$20,0)))</f>
        <v>0.0225</v>
      </c>
      <c r="G26" s="88" t="n">
        <f aca="false">IF(OR(E26="",F26="",D26=""),"",(E26+F26)/D26)</f>
        <v>0.0928703703703704</v>
      </c>
      <c r="H26" s="43" t="s">
        <v>381</v>
      </c>
      <c r="I26" s="43" t="s">
        <v>382</v>
      </c>
    </row>
    <row r="27" customFormat="false" ht="42.75" hidden="false" customHeight="true" outlineLevel="0" collapsed="false">
      <c r="A27" s="48" t="s">
        <v>383</v>
      </c>
      <c r="B27" s="89" t="s">
        <v>348</v>
      </c>
      <c r="C27" s="89" t="s">
        <v>363</v>
      </c>
      <c r="D27" s="87" t="n">
        <v>1</v>
      </c>
      <c r="E27" s="88" t="n">
        <f aca="false">IF(B27="","",INDEX($H$6:$H$13,MATCH(B27,$A$6:$A$13,0)))</f>
        <v>0.0703703703703704</v>
      </c>
      <c r="F27" s="88" t="n">
        <f aca="false">IF(C27="","",INDEX($H$17:$H$20,MATCH(C27,$A$17:$A$20,0)))</f>
        <v>0.0225</v>
      </c>
      <c r="G27" s="88" t="n">
        <f aca="false">IF(OR(E27="",F27="",D27=""),"",(E27+F27)/D27)</f>
        <v>0.0928703703703704</v>
      </c>
      <c r="H27" s="43" t="s">
        <v>384</v>
      </c>
      <c r="I27" s="43" t="s">
        <v>385</v>
      </c>
    </row>
    <row r="28" customFormat="false" ht="28.5" hidden="false" customHeight="true" outlineLevel="0" collapsed="false">
      <c r="A28" s="41"/>
      <c r="B28" s="89"/>
      <c r="C28" s="89"/>
      <c r="D28" s="87"/>
      <c r="E28" s="88" t="str">
        <f aca="false">IF(B28="","",INDEX($H$6:$H$13,MATCH(B28,$A$6:$A$13,0)))</f>
        <v/>
      </c>
      <c r="F28" s="88" t="str">
        <f aca="false">IF(C28="","",INDEX($H$17:$H$20,MATCH(C28,$A$17:$A$20,0)))</f>
        <v/>
      </c>
      <c r="G28" s="88" t="str">
        <f aca="false">IF(OR(E28="",F28="",D28=""),"",(E28+F28)/D28)</f>
        <v/>
      </c>
      <c r="H28" s="43"/>
      <c r="I28" s="43" t="s">
        <v>386</v>
      </c>
    </row>
    <row r="29" customFormat="false" ht="14.25" hidden="false" customHeight="true" outlineLevel="0" collapsed="false">
      <c r="A29" s="41"/>
      <c r="B29" s="89"/>
      <c r="C29" s="89"/>
      <c r="D29" s="87"/>
      <c r="E29" s="88" t="str">
        <f aca="false">IF(B29="","",INDEX($H$6:$H$13,MATCH(B29,$A$6:$A$13,0)))</f>
        <v/>
      </c>
      <c r="F29" s="88" t="str">
        <f aca="false">IF(C29="","",INDEX($H$17:$H$20,MATCH(C29,$A$17:$A$20,0)))</f>
        <v/>
      </c>
      <c r="G29" s="88" t="str">
        <f aca="false">IF(OR(E29="",F29="",D29=""),"",(E29+F29)/D29)</f>
        <v/>
      </c>
      <c r="H29" s="43"/>
      <c r="I29" s="43"/>
    </row>
    <row r="30" customFormat="false" ht="14.25" hidden="false" customHeight="true" outlineLevel="0" collapsed="false">
      <c r="A30" s="41"/>
      <c r="B30" s="89"/>
      <c r="C30" s="89"/>
      <c r="D30" s="87"/>
      <c r="E30" s="88" t="str">
        <f aca="false">IF(B30="","",INDEX($H$6:$H$13,MATCH(B30,$A$6:$A$13,0)))</f>
        <v/>
      </c>
      <c r="F30" s="88" t="str">
        <f aca="false">IF(C30="","",INDEX($H$17:$H$20,MATCH(C30,$A$17:$A$20,0)))</f>
        <v/>
      </c>
      <c r="G30" s="88" t="str">
        <f aca="false">IF(OR(E30="",F30="",D30=""),"",(E30+F30)/D30)</f>
        <v/>
      </c>
      <c r="H30" s="43"/>
      <c r="I30" s="43"/>
    </row>
    <row r="31" customFormat="false" ht="14.25" hidden="false" customHeight="true" outlineLevel="0" collapsed="false">
      <c r="A31" s="41"/>
      <c r="B31" s="89"/>
      <c r="C31" s="89"/>
      <c r="D31" s="87"/>
      <c r="E31" s="88" t="str">
        <f aca="false">IF(B31="","",INDEX($H$6:$H$13,MATCH(B31,$A$6:$A$13,0)))</f>
        <v/>
      </c>
      <c r="F31" s="88" t="str">
        <f aca="false">IF(C31="","",INDEX($H$17:$H$20,MATCH(C31,$A$17:$A$20,0)))</f>
        <v/>
      </c>
      <c r="G31" s="88" t="str">
        <f aca="false">IF(OR(E31="",F31="",D31=""),"",(E31+F31)/D31)</f>
        <v/>
      </c>
      <c r="H31" s="43"/>
      <c r="I31" s="43"/>
    </row>
    <row r="33" customFormat="false" ht="27.75" hidden="false" customHeight="true" outlineLevel="0" collapsed="false">
      <c r="A33" s="74" t="s">
        <v>387</v>
      </c>
      <c r="B33" s="74"/>
      <c r="C33" s="74"/>
      <c r="D33" s="74"/>
      <c r="E33" s="74"/>
      <c r="F33" s="74"/>
      <c r="G33" s="74"/>
      <c r="H33" s="74"/>
      <c r="I33" s="74"/>
    </row>
  </sheetData>
  <mergeCells count="2">
    <mergeCell ref="A2:I2"/>
    <mergeCell ref="A33:I33"/>
  </mergeCells>
  <dataValidations count="2">
    <dataValidation allowBlank="true" errorStyle="stop" operator="between" showDropDown="false" showErrorMessage="false" showInputMessage="false" sqref="B24:B31" type="list">
      <formula1>$A$6:$A$13</formula1>
      <formula2>0</formula2>
    </dataValidation>
    <dataValidation allowBlank="true" errorStyle="stop" operator="between" showDropDown="false" showErrorMessage="false" showInputMessage="false" sqref="C24:C31" type="list">
      <formula1>$A$17:$A$20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30"/>
    <col collapsed="false" customWidth="true" hidden="false" outlineLevel="0" max="4" min="4" style="1" width="55"/>
  </cols>
  <sheetData>
    <row r="1" customFormat="false" ht="17.25" hidden="false" customHeight="true" outlineLevel="0" collapsed="false">
      <c r="A1" s="2" t="s">
        <v>388</v>
      </c>
    </row>
    <row r="2" customFormat="false" ht="14.25" hidden="false" customHeight="true" outlineLevel="0" collapsed="false">
      <c r="A2" s="24" t="s">
        <v>389</v>
      </c>
      <c r="B2" s="24"/>
      <c r="C2" s="24"/>
      <c r="D2" s="24"/>
    </row>
    <row r="4" customFormat="false" ht="14.25" hidden="false" customHeight="true" outlineLevel="0" collapsed="false">
      <c r="A4" s="11" t="s">
        <v>390</v>
      </c>
    </row>
    <row r="5" customFormat="false" ht="14.25" hidden="false" customHeight="true" outlineLevel="0" collapsed="false">
      <c r="A5" s="15" t="s">
        <v>2</v>
      </c>
      <c r="B5" s="15" t="s">
        <v>391</v>
      </c>
      <c r="C5" s="15" t="s">
        <v>4</v>
      </c>
      <c r="D5" s="15" t="s">
        <v>5</v>
      </c>
      <c r="E5" s="15" t="s">
        <v>392</v>
      </c>
    </row>
    <row r="6" customFormat="false" ht="16.5" hidden="false" customHeight="true" outlineLevel="0" collapsed="false">
      <c r="A6" s="90" t="s">
        <v>393</v>
      </c>
      <c r="B6" s="17" t="n">
        <v>8.9</v>
      </c>
      <c r="C6" s="18" t="s">
        <v>394</v>
      </c>
      <c r="D6" s="3" t="s">
        <v>395</v>
      </c>
      <c r="E6" s="1" t="n">
        <f aca="false">B6*12</f>
        <v>106.8</v>
      </c>
    </row>
    <row r="7" customFormat="false" ht="14.25" hidden="false" customHeight="true" outlineLevel="0" collapsed="false">
      <c r="A7" s="18" t="s">
        <v>396</v>
      </c>
      <c r="B7" s="17" t="n">
        <v>14.09</v>
      </c>
      <c r="C7" s="18" t="s">
        <v>394</v>
      </c>
      <c r="D7" s="3" t="s">
        <v>397</v>
      </c>
      <c r="E7" s="1" t="n">
        <f aca="false">B7*12</f>
        <v>169.08</v>
      </c>
    </row>
    <row r="8" customFormat="false" ht="14.25" hidden="false" customHeight="true" outlineLevel="0" collapsed="false">
      <c r="A8" s="18" t="s">
        <v>398</v>
      </c>
      <c r="B8" s="17" t="n">
        <v>32.4</v>
      </c>
      <c r="C8" s="18" t="s">
        <v>399</v>
      </c>
      <c r="D8" s="3" t="s">
        <v>400</v>
      </c>
      <c r="E8" s="1" t="n">
        <f aca="false">B8*12</f>
        <v>388.8</v>
      </c>
    </row>
    <row r="9" customFormat="false" ht="14.25" hidden="false" customHeight="true" outlineLevel="0" collapsed="false">
      <c r="A9" s="18" t="s">
        <v>401</v>
      </c>
      <c r="B9" s="17" t="n">
        <v>7</v>
      </c>
      <c r="C9" s="18" t="s">
        <v>399</v>
      </c>
      <c r="D9" s="3" t="s">
        <v>402</v>
      </c>
      <c r="E9" s="1" t="n">
        <f aca="false">B9*12</f>
        <v>84</v>
      </c>
    </row>
    <row r="10" customFormat="false" ht="14.25" hidden="false" customHeight="true" outlineLevel="0" collapsed="false">
      <c r="A10" s="18" t="s">
        <v>403</v>
      </c>
      <c r="B10" s="29" t="n">
        <f aca="false">E10/12</f>
        <v>20.8333333333333</v>
      </c>
      <c r="C10" s="18" t="s">
        <v>399</v>
      </c>
      <c r="D10" s="3" t="s">
        <v>404</v>
      </c>
      <c r="E10" s="91" t="n">
        <v>250</v>
      </c>
    </row>
    <row r="11" customFormat="false" ht="14.25" hidden="false" customHeight="true" outlineLevel="0" collapsed="false">
      <c r="A11" s="18" t="s">
        <v>405</v>
      </c>
      <c r="B11" s="17" t="n">
        <v>0</v>
      </c>
      <c r="C11" s="18" t="s">
        <v>394</v>
      </c>
      <c r="D11" s="3" t="s">
        <v>406</v>
      </c>
      <c r="E11" s="1" t="n">
        <f aca="false">B11*12</f>
        <v>0</v>
      </c>
    </row>
    <row r="12" customFormat="false" ht="14.25" hidden="false" customHeight="true" outlineLevel="0" collapsed="false">
      <c r="A12" s="20" t="s">
        <v>407</v>
      </c>
      <c r="B12" s="21" t="n">
        <f aca="false">SUM(B6:B11)</f>
        <v>83.2233333333333</v>
      </c>
      <c r="E12" s="1" t="n">
        <f aca="false">SUM(E6:E11)</f>
        <v>998.68</v>
      </c>
    </row>
    <row r="14" customFormat="false" ht="14.25" hidden="false" customHeight="true" outlineLevel="0" collapsed="false">
      <c r="A14" s="11" t="s">
        <v>408</v>
      </c>
    </row>
    <row r="15" customFormat="false" ht="14.25" hidden="false" customHeight="true" outlineLevel="0" collapsed="false">
      <c r="A15" s="24" t="s">
        <v>409</v>
      </c>
      <c r="B15" s="24"/>
      <c r="C15" s="24"/>
      <c r="D15" s="24"/>
    </row>
    <row r="17" customFormat="false" ht="14.25" hidden="false" customHeight="true" outlineLevel="0" collapsed="false">
      <c r="A17" s="15" t="s">
        <v>410</v>
      </c>
      <c r="B17" s="15" t="s">
        <v>411</v>
      </c>
      <c r="C17" s="15" t="s">
        <v>412</v>
      </c>
      <c r="D17" s="15" t="s">
        <v>413</v>
      </c>
    </row>
    <row r="18" customFormat="false" ht="14.25" hidden="false" customHeight="true" outlineLevel="0" collapsed="false">
      <c r="A18" s="18" t="s">
        <v>414</v>
      </c>
      <c r="B18" s="92" t="n">
        <v>10</v>
      </c>
      <c r="C18" s="18" t="s">
        <v>415</v>
      </c>
      <c r="D18" s="3" t="s">
        <v>416</v>
      </c>
    </row>
    <row r="19" customFormat="false" ht="14.25" hidden="false" customHeight="true" outlineLevel="0" collapsed="false">
      <c r="A19" s="18" t="s">
        <v>417</v>
      </c>
      <c r="B19" s="92" t="n">
        <v>40</v>
      </c>
      <c r="C19" s="18" t="s">
        <v>418</v>
      </c>
      <c r="D19" s="3" t="s">
        <v>419</v>
      </c>
    </row>
    <row r="20" customFormat="false" ht="14.25" hidden="false" customHeight="true" outlineLevel="0" collapsed="false">
      <c r="A20" s="18" t="s">
        <v>420</v>
      </c>
      <c r="B20" s="93" t="n">
        <f aca="false">B23</f>
        <v>115.466666666667</v>
      </c>
      <c r="C20" s="18" t="s">
        <v>421</v>
      </c>
      <c r="D20" s="3" t="s">
        <v>422</v>
      </c>
    </row>
    <row r="22" customFormat="false" ht="14.25" hidden="false" customHeight="true" outlineLevel="0" collapsed="false">
      <c r="A22" s="18" t="s">
        <v>423</v>
      </c>
      <c r="B22" s="94" t="n">
        <v>1</v>
      </c>
      <c r="D22" s="3" t="s">
        <v>424</v>
      </c>
    </row>
    <row r="23" customFormat="false" ht="14.25" hidden="false" customHeight="true" outlineLevel="0" collapsed="false">
      <c r="A23" s="18" t="s">
        <v>425</v>
      </c>
      <c r="B23" s="93" t="n">
        <f aca="false">IFERROR(B22*4.33/(45/60)*20,0)</f>
        <v>115.466666666667</v>
      </c>
      <c r="D23" s="3" t="s">
        <v>426</v>
      </c>
    </row>
    <row r="25" customFormat="false" ht="14.25" hidden="false" customHeight="true" outlineLevel="0" collapsed="false">
      <c r="A25" s="11" t="s">
        <v>427</v>
      </c>
    </row>
    <row r="26" customFormat="false" ht="14.25" hidden="false" customHeight="true" outlineLevel="0" collapsed="false">
      <c r="A26" s="15" t="s">
        <v>410</v>
      </c>
      <c r="B26" s="15" t="s">
        <v>428</v>
      </c>
    </row>
    <row r="27" customFormat="false" ht="14.25" hidden="false" customHeight="true" outlineLevel="0" collapsed="false">
      <c r="A27" s="18" t="s">
        <v>414</v>
      </c>
      <c r="B27" s="29" t="n">
        <f aca="false">IFERROR($B$12/B18,0)</f>
        <v>8.32233333333333</v>
      </c>
    </row>
    <row r="28" customFormat="false" ht="14.25" hidden="false" customHeight="true" outlineLevel="0" collapsed="false">
      <c r="A28" s="18" t="s">
        <v>417</v>
      </c>
      <c r="B28" s="29" t="n">
        <f aca="false">IFERROR($B$12/B19,0)</f>
        <v>2.08058333333333</v>
      </c>
    </row>
    <row r="29" customFormat="false" ht="14.25" hidden="false" customHeight="true" outlineLevel="0" collapsed="false">
      <c r="A29" s="18" t="s">
        <v>420</v>
      </c>
      <c r="B29" s="29" t="n">
        <f aca="false">IFERROR($B$12/B20,0)</f>
        <v>0.720756351039261</v>
      </c>
    </row>
    <row r="31" customFormat="false" ht="14.25" hidden="false" customHeight="true" outlineLevel="0" collapsed="false">
      <c r="A31" s="11" t="s">
        <v>429</v>
      </c>
    </row>
    <row r="32" customFormat="false" ht="14.25" hidden="false" customHeight="true" outlineLevel="0" collapsed="false">
      <c r="A32" s="18" t="s">
        <v>430</v>
      </c>
      <c r="B32" s="95" t="s">
        <v>414</v>
      </c>
      <c r="D32" s="3" t="s">
        <v>431</v>
      </c>
    </row>
    <row r="33" customFormat="false" ht="14.25" hidden="false" customHeight="true" outlineLevel="0" collapsed="false">
      <c r="A33" s="18" t="s">
        <v>432</v>
      </c>
      <c r="B33" s="93" t="n">
        <f aca="false">INDEX(B18:B20,MATCH(B32,A18:A20,0))</f>
        <v>10</v>
      </c>
    </row>
    <row r="34" customFormat="false" ht="14.25" hidden="false" customHeight="true" outlineLevel="0" collapsed="false">
      <c r="A34" s="20" t="s">
        <v>433</v>
      </c>
      <c r="B34" s="21" t="n">
        <f aca="false">IFERROR($B$12/B33,0)</f>
        <v>8.32233333333333</v>
      </c>
    </row>
  </sheetData>
  <mergeCells count="2">
    <mergeCell ref="A2:D2"/>
    <mergeCell ref="A15:D15"/>
  </mergeCells>
  <dataValidations count="1">
    <dataValidation allowBlank="false" errorStyle="stop" operator="between" showDropDown="false" showErrorMessage="false" showInputMessage="false" sqref="B32" type="list">
      <formula1>"Conservative,Base / Target,Optimistic / Capacity ceiling"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9" activeCellId="0" sqref="N9"/>
    </sheetView>
  </sheetViews>
  <sheetFormatPr defaultColWidth="8.66796875" defaultRowHeight="15" zeroHeight="false" outlineLevelRow="0" outlineLevelCol="0"/>
  <cols>
    <col collapsed="false" customWidth="true" hidden="false" outlineLevel="0" max="1" min="1" style="1" width="9.67"/>
    <col collapsed="false" customWidth="true" hidden="false" outlineLevel="0" max="5" min="5" style="1" width="12.16"/>
    <col collapsed="false" customWidth="true" hidden="false" outlineLevel="0" max="9" min="9" style="1" width="9.67"/>
  </cols>
  <sheetData>
    <row r="1" customFormat="false" ht="14.25" hidden="false" customHeight="true" outlineLevel="0" collapsed="false">
      <c r="A1" s="1" t="s">
        <v>434</v>
      </c>
      <c r="B1" s="1" t="s">
        <v>41</v>
      </c>
      <c r="C1" s="1" t="s">
        <v>435</v>
      </c>
      <c r="D1" s="1" t="s">
        <v>436</v>
      </c>
      <c r="E1" s="1" t="s">
        <v>437</v>
      </c>
      <c r="I1" s="1" t="s">
        <v>438</v>
      </c>
      <c r="J1" s="1" t="s">
        <v>41</v>
      </c>
      <c r="K1" s="1" t="s">
        <v>438</v>
      </c>
      <c r="L1" s="1" t="s">
        <v>439</v>
      </c>
      <c r="M1" s="1" t="s">
        <v>440</v>
      </c>
    </row>
    <row r="2" customFormat="false" ht="14.25" hidden="false" customHeight="true" outlineLevel="0" collapsed="false">
      <c r="A2" s="1" t="s">
        <v>16</v>
      </c>
      <c r="I2" s="1" t="s">
        <v>16</v>
      </c>
    </row>
    <row r="3" customFormat="false" ht="14.25" hidden="false" customHeight="true" outlineLevel="0" collapsed="false">
      <c r="A3" s="1" t="s">
        <v>441</v>
      </c>
      <c r="B3" s="1" t="n">
        <v>10</v>
      </c>
      <c r="C3" s="1" t="n">
        <v>6.5</v>
      </c>
      <c r="E3" s="1" t="n">
        <f aca="false">C3/B3</f>
        <v>0.65</v>
      </c>
      <c r="I3" s="1" t="s">
        <v>441</v>
      </c>
      <c r="J3" s="1" t="n">
        <v>25</v>
      </c>
      <c r="K3" s="1" t="n">
        <f aca="false">C4+C14</f>
        <v>25.9</v>
      </c>
      <c r="L3" s="1" t="n">
        <f aca="false">K3/J3</f>
        <v>1.036</v>
      </c>
    </row>
    <row r="4" customFormat="false" ht="14.25" hidden="false" customHeight="true" outlineLevel="0" collapsed="false">
      <c r="A4" s="1" t="s">
        <v>441</v>
      </c>
      <c r="B4" s="1" t="n">
        <v>25</v>
      </c>
      <c r="C4" s="1" t="n">
        <v>13.25</v>
      </c>
      <c r="E4" s="1" t="n">
        <f aca="false">C4/B4</f>
        <v>0.53</v>
      </c>
      <c r="I4" s="1" t="s">
        <v>441</v>
      </c>
      <c r="J4" s="1" t="n">
        <v>50</v>
      </c>
      <c r="K4" s="1" t="n">
        <f aca="false">C5+C15</f>
        <v>46.15</v>
      </c>
      <c r="L4" s="1" t="n">
        <f aca="false">K4/J4</f>
        <v>0.923</v>
      </c>
      <c r="M4" s="1" t="n">
        <f aca="false">L3-L4</f>
        <v>0.113</v>
      </c>
    </row>
    <row r="5" customFormat="false" ht="14.25" hidden="false" customHeight="true" outlineLevel="0" collapsed="false">
      <c r="A5" s="1" t="s">
        <v>441</v>
      </c>
      <c r="B5" s="1" t="n">
        <v>50</v>
      </c>
      <c r="C5" s="1" t="n">
        <v>22.5</v>
      </c>
      <c r="E5" s="1" t="n">
        <f aca="false">C5/B5</f>
        <v>0.45</v>
      </c>
      <c r="I5" s="1" t="s">
        <v>441</v>
      </c>
      <c r="J5" s="1" t="n">
        <v>100</v>
      </c>
      <c r="K5" s="1" t="n">
        <f aca="false">C6+C16</f>
        <v>87</v>
      </c>
      <c r="L5" s="96" t="n">
        <f aca="false">K5/J5</f>
        <v>0.87</v>
      </c>
      <c r="M5" s="1" t="n">
        <f aca="false">L4-L5</f>
        <v>0.0529999999999999</v>
      </c>
    </row>
    <row r="6" customFormat="false" ht="14.25" hidden="false" customHeight="true" outlineLevel="0" collapsed="false">
      <c r="A6" s="1" t="s">
        <v>441</v>
      </c>
      <c r="B6" s="1" t="n">
        <v>100</v>
      </c>
      <c r="C6" s="1" t="n">
        <v>43</v>
      </c>
      <c r="E6" s="1" t="n">
        <f aca="false">C6/B6</f>
        <v>0.43</v>
      </c>
      <c r="I6" s="1" t="s">
        <v>441</v>
      </c>
      <c r="J6" s="1" t="n">
        <v>200</v>
      </c>
      <c r="K6" s="1" t="n">
        <f aca="false">C7+C17</f>
        <v>165.5</v>
      </c>
      <c r="L6" s="1" t="n">
        <f aca="false">K6/J6</f>
        <v>0.8275</v>
      </c>
      <c r="M6" s="1" t="n">
        <f aca="false">L5-L6</f>
        <v>0.0425</v>
      </c>
    </row>
    <row r="7" customFormat="false" ht="14.25" hidden="false" customHeight="true" outlineLevel="0" collapsed="false">
      <c r="A7" s="1" t="s">
        <v>441</v>
      </c>
      <c r="B7" s="1" t="n">
        <v>200</v>
      </c>
      <c r="C7" s="1" t="n">
        <v>80</v>
      </c>
      <c r="E7" s="1" t="n">
        <f aca="false">C7/B7</f>
        <v>0.4</v>
      </c>
      <c r="I7" s="1" t="s">
        <v>441</v>
      </c>
      <c r="J7" s="1" t="n">
        <v>500</v>
      </c>
      <c r="K7" s="1" t="n">
        <f aca="false">C8+C18</f>
        <v>384</v>
      </c>
      <c r="L7" s="1" t="n">
        <f aca="false">K7/J7</f>
        <v>0.768</v>
      </c>
      <c r="M7" s="1" t="n">
        <f aca="false">L6-L7</f>
        <v>0.0595</v>
      </c>
    </row>
    <row r="8" customFormat="false" ht="14.25" hidden="false" customHeight="true" outlineLevel="0" collapsed="false">
      <c r="A8" s="1" t="s">
        <v>441</v>
      </c>
      <c r="B8" s="1" t="n">
        <v>500</v>
      </c>
      <c r="C8" s="1" t="n">
        <v>175</v>
      </c>
      <c r="E8" s="1" t="n">
        <f aca="false">C8/B8</f>
        <v>0.35</v>
      </c>
      <c r="I8" s="1" t="s">
        <v>442</v>
      </c>
      <c r="J8" s="1" t="n">
        <v>25</v>
      </c>
      <c r="K8" s="1" t="n">
        <f aca="false">C10+C14</f>
        <v>28.9</v>
      </c>
      <c r="L8" s="1" t="n">
        <f aca="false">K8/J8</f>
        <v>1.156</v>
      </c>
      <c r="M8" s="1" t="n">
        <f aca="false">L7-L8</f>
        <v>-0.388</v>
      </c>
    </row>
    <row r="9" customFormat="false" ht="14.25" hidden="false" customHeight="true" outlineLevel="0" collapsed="false">
      <c r="A9" s="1" t="s">
        <v>442</v>
      </c>
      <c r="B9" s="1" t="n">
        <v>10</v>
      </c>
      <c r="C9" s="1" t="n">
        <v>7.5</v>
      </c>
      <c r="E9" s="1" t="n">
        <f aca="false">C9/B9</f>
        <v>0.75</v>
      </c>
      <c r="I9" s="1" t="s">
        <v>442</v>
      </c>
      <c r="J9" s="1" t="n">
        <v>50</v>
      </c>
      <c r="K9" s="1" t="n">
        <f aca="false">C11+C15</f>
        <v>51.15</v>
      </c>
      <c r="L9" s="1" t="n">
        <f aca="false">K9/J9</f>
        <v>1.023</v>
      </c>
      <c r="M9" s="1" t="n">
        <f aca="false">L8-L9</f>
        <v>0.133</v>
      </c>
    </row>
    <row r="10" customFormat="false" ht="14.25" hidden="false" customHeight="true" outlineLevel="0" collapsed="false">
      <c r="B10" s="1" t="n">
        <v>25</v>
      </c>
      <c r="C10" s="1" t="n">
        <v>16.25</v>
      </c>
      <c r="E10" s="1" t="n">
        <f aca="false">C10/B10</f>
        <v>0.65</v>
      </c>
      <c r="I10" s="1" t="s">
        <v>442</v>
      </c>
      <c r="J10" s="1" t="n">
        <v>100</v>
      </c>
      <c r="K10" s="1" t="n">
        <f aca="false">C12+C16</f>
        <v>92</v>
      </c>
      <c r="L10" s="96" t="n">
        <f aca="false">K10/J10</f>
        <v>0.92</v>
      </c>
      <c r="M10" s="1" t="n">
        <f aca="false">L9-L10</f>
        <v>0.103</v>
      </c>
    </row>
    <row r="11" customFormat="false" ht="14.25" hidden="false" customHeight="true" outlineLevel="0" collapsed="false">
      <c r="B11" s="1" t="n">
        <v>50</v>
      </c>
      <c r="C11" s="1" t="n">
        <v>27.5</v>
      </c>
      <c r="E11" s="1" t="n">
        <f aca="false">C11/B11</f>
        <v>0.55</v>
      </c>
      <c r="I11" s="1" t="s">
        <v>442</v>
      </c>
      <c r="J11" s="1" t="n">
        <v>200</v>
      </c>
      <c r="K11" s="1" t="n">
        <f aca="false">2*C12+C17</f>
        <v>181.5</v>
      </c>
      <c r="L11" s="1" t="n">
        <f aca="false">K11/J11</f>
        <v>0.9075</v>
      </c>
      <c r="M11" s="1" t="n">
        <f aca="false">L10-L11</f>
        <v>0.0125000000000001</v>
      </c>
    </row>
    <row r="12" customFormat="false" ht="14.25" hidden="false" customHeight="true" outlineLevel="0" collapsed="false">
      <c r="B12" s="1" t="n">
        <v>100</v>
      </c>
      <c r="C12" s="1" t="n">
        <v>48</v>
      </c>
      <c r="E12" s="1" t="n">
        <f aca="false">C12/B12</f>
        <v>0.48</v>
      </c>
      <c r="I12" s="1" t="s">
        <v>442</v>
      </c>
      <c r="J12" s="1" t="n">
        <v>500</v>
      </c>
      <c r="K12" s="1" t="n">
        <f aca="false">5*C12+C18</f>
        <v>449</v>
      </c>
      <c r="L12" s="1" t="n">
        <f aca="false">K12/J12</f>
        <v>0.898</v>
      </c>
      <c r="M12" s="1" t="n">
        <f aca="false">L11-L12</f>
        <v>0.00949999999999995</v>
      </c>
    </row>
    <row r="13" customFormat="false" ht="14.25" hidden="false" customHeight="true" outlineLevel="0" collapsed="false">
      <c r="A13" s="1" t="s">
        <v>443</v>
      </c>
      <c r="B13" s="1" t="n">
        <v>10</v>
      </c>
      <c r="C13" s="1" t="n">
        <v>5.5</v>
      </c>
      <c r="E13" s="1" t="n">
        <f aca="false">C13/B13</f>
        <v>0.55</v>
      </c>
      <c r="I13" s="1" t="s">
        <v>444</v>
      </c>
      <c r="J13" s="1" t="n">
        <v>20</v>
      </c>
      <c r="K13" s="1" t="n">
        <f aca="false">C20+C22</f>
        <v>13</v>
      </c>
      <c r="L13" s="1" t="n">
        <f aca="false">K13/J13</f>
        <v>0.65</v>
      </c>
    </row>
    <row r="14" customFormat="false" ht="14.25" hidden="false" customHeight="true" outlineLevel="0" collapsed="false">
      <c r="B14" s="1" t="n">
        <v>25</v>
      </c>
      <c r="C14" s="1" t="n">
        <v>12.65</v>
      </c>
      <c r="E14" s="1" t="n">
        <f aca="false">C14/B14</f>
        <v>0.506</v>
      </c>
      <c r="I14" s="1" t="s">
        <v>444</v>
      </c>
      <c r="J14" s="1" t="n">
        <v>60</v>
      </c>
      <c r="K14" s="1" t="n">
        <f aca="false">K13*3</f>
        <v>39</v>
      </c>
      <c r="L14" s="1" t="n">
        <f aca="false">K14/J14</f>
        <v>0.65</v>
      </c>
    </row>
    <row r="15" customFormat="false" ht="14.25" hidden="false" customHeight="true" outlineLevel="0" collapsed="false">
      <c r="B15" s="1" t="n">
        <v>50</v>
      </c>
      <c r="C15" s="1" t="n">
        <v>23.65</v>
      </c>
      <c r="E15" s="1" t="n">
        <f aca="false">C15/B15</f>
        <v>0.473</v>
      </c>
      <c r="I15" s="1" t="s">
        <v>444</v>
      </c>
      <c r="J15" s="1" t="n">
        <v>100</v>
      </c>
      <c r="K15" s="1" t="n">
        <f aca="false">K13*5</f>
        <v>65</v>
      </c>
      <c r="L15" s="96" t="n">
        <f aca="false">K15/J15</f>
        <v>0.65</v>
      </c>
    </row>
    <row r="16" customFormat="false" ht="14.25" hidden="false" customHeight="true" outlineLevel="0" collapsed="false">
      <c r="B16" s="1" t="n">
        <v>100</v>
      </c>
      <c r="C16" s="1" t="n">
        <v>44</v>
      </c>
      <c r="E16" s="1" t="n">
        <f aca="false">C16/B16</f>
        <v>0.44</v>
      </c>
    </row>
    <row r="17" customFormat="false" ht="14.25" hidden="false" customHeight="true" outlineLevel="0" collapsed="false">
      <c r="B17" s="1" t="n">
        <v>200</v>
      </c>
      <c r="C17" s="1" t="n">
        <v>85.5</v>
      </c>
      <c r="E17" s="1" t="n">
        <f aca="false">C17/B17</f>
        <v>0.4275</v>
      </c>
    </row>
    <row r="18" customFormat="false" ht="14.25" hidden="false" customHeight="true" outlineLevel="0" collapsed="false">
      <c r="B18" s="1" t="n">
        <v>500</v>
      </c>
      <c r="C18" s="1" t="n">
        <v>209</v>
      </c>
      <c r="E18" s="1" t="n">
        <f aca="false">C18/B18</f>
        <v>0.418</v>
      </c>
    </row>
    <row r="19" customFormat="false" ht="14.25" hidden="false" customHeight="true" outlineLevel="0" collapsed="false">
      <c r="A19" s="1" t="s">
        <v>444</v>
      </c>
    </row>
    <row r="20" customFormat="false" ht="14.25" hidden="false" customHeight="true" outlineLevel="0" collapsed="false">
      <c r="A20" s="1" t="s">
        <v>441</v>
      </c>
      <c r="B20" s="1" t="n">
        <v>20</v>
      </c>
      <c r="C20" s="1" t="n">
        <v>6.5</v>
      </c>
      <c r="E20" s="1" t="n">
        <f aca="false">C20/B20</f>
        <v>0.325</v>
      </c>
    </row>
    <row r="21" customFormat="false" ht="14.25" hidden="false" customHeight="true" outlineLevel="0" collapsed="false">
      <c r="A21" s="1" t="s">
        <v>442</v>
      </c>
      <c r="B21" s="1" t="n">
        <v>20</v>
      </c>
      <c r="C21" s="1" t="n">
        <v>6.5</v>
      </c>
      <c r="E21" s="1" t="n">
        <f aca="false">C21/B21</f>
        <v>0.325</v>
      </c>
    </row>
    <row r="22" customFormat="false" ht="14.25" hidden="false" customHeight="true" outlineLevel="0" collapsed="false">
      <c r="A22" s="1" t="s">
        <v>443</v>
      </c>
      <c r="B22" s="1" t="n">
        <v>20</v>
      </c>
      <c r="C22" s="1" t="n">
        <v>6.5</v>
      </c>
      <c r="E22" s="1" t="n">
        <f aca="false">C22/B22</f>
        <v>0.325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7" activeCellId="0" sqref="B17"/>
    </sheetView>
  </sheetViews>
  <sheetFormatPr defaultColWidth="8.66796875" defaultRowHeight="15" zeroHeight="false" outlineLevelRow="0" outlineLevelCol="0"/>
  <cols>
    <col collapsed="false" customWidth="true" hidden="false" outlineLevel="0" max="1" min="1" style="1" width="77.16"/>
    <col collapsed="false" customWidth="true" hidden="false" outlineLevel="0" max="5" min="2" style="1" width="18"/>
  </cols>
  <sheetData>
    <row r="1" customFormat="false" ht="14.25" hidden="false" customHeight="true" outlineLevel="0" collapsed="false">
      <c r="A1" s="97" t="s">
        <v>445</v>
      </c>
    </row>
    <row r="2" customFormat="false" ht="14.25" hidden="false" customHeight="true" outlineLevel="0" collapsed="false">
      <c r="A2" s="98" t="s">
        <v>446</v>
      </c>
    </row>
    <row r="4" customFormat="false" ht="14.25" hidden="false" customHeight="true" outlineLevel="0" collapsed="false">
      <c r="A4" s="99" t="s">
        <v>2</v>
      </c>
      <c r="B4" s="99" t="s">
        <v>87</v>
      </c>
      <c r="C4" s="99" t="s">
        <v>5</v>
      </c>
    </row>
    <row r="5" customFormat="false" ht="14.25" hidden="false" customHeight="true" outlineLevel="0" collapsed="false">
      <c r="A5" s="100" t="s">
        <v>447</v>
      </c>
      <c r="B5" s="101" t="n">
        <v>5</v>
      </c>
      <c r="C5" s="98" t="s">
        <v>448</v>
      </c>
    </row>
    <row r="6" customFormat="false" ht="14.25" hidden="false" customHeight="true" outlineLevel="0" collapsed="false">
      <c r="A6" s="100" t="s">
        <v>449</v>
      </c>
      <c r="B6" s="102" t="n">
        <v>0.04</v>
      </c>
      <c r="C6" s="98" t="s">
        <v>450</v>
      </c>
    </row>
    <row r="7" customFormat="false" ht="14.25" hidden="false" customHeight="true" outlineLevel="0" collapsed="false">
      <c r="A7" s="100" t="s">
        <v>451</v>
      </c>
      <c r="B7" s="102" t="n">
        <v>0.128</v>
      </c>
      <c r="C7" s="98" t="s">
        <v>452</v>
      </c>
    </row>
    <row r="8" customFormat="false" ht="14.25" hidden="false" customHeight="true" outlineLevel="0" collapsed="false">
      <c r="A8" s="100" t="s">
        <v>453</v>
      </c>
      <c r="B8" s="101" t="n">
        <v>0.3</v>
      </c>
      <c r="C8" s="98" t="s">
        <v>454</v>
      </c>
    </row>
    <row r="9" customFormat="false" ht="14.25" hidden="false" customHeight="true" outlineLevel="0" collapsed="false">
      <c r="A9" s="100" t="s">
        <v>455</v>
      </c>
      <c r="B9" s="102" t="n">
        <v>0.004</v>
      </c>
      <c r="C9" s="98" t="s">
        <v>456</v>
      </c>
    </row>
    <row r="10" customFormat="false" ht="14.25" hidden="false" customHeight="true" outlineLevel="0" collapsed="false">
      <c r="A10" s="100" t="s">
        <v>457</v>
      </c>
      <c r="B10" s="102" t="n">
        <v>0.2</v>
      </c>
      <c r="C10" s="98" t="s">
        <v>458</v>
      </c>
    </row>
    <row r="11" customFormat="false" ht="14.25" hidden="false" customHeight="true" outlineLevel="0" collapsed="false">
      <c r="A11" s="97" t="s">
        <v>459</v>
      </c>
    </row>
    <row r="12" customFormat="false" ht="14.25" hidden="false" customHeight="true" outlineLevel="0" collapsed="false">
      <c r="A12" s="100" t="s">
        <v>460</v>
      </c>
      <c r="B12" s="103" t="n">
        <f aca="false">B6*B5*(1+$B$10)</f>
        <v>0.24</v>
      </c>
    </row>
    <row r="13" customFormat="false" ht="14.25" hidden="false" customHeight="true" outlineLevel="0" collapsed="false">
      <c r="A13" s="100" t="s">
        <v>461</v>
      </c>
      <c r="B13" s="103" t="n">
        <f aca="false">B7*B5*(1+$B$10)</f>
        <v>0.768</v>
      </c>
    </row>
    <row r="14" customFormat="false" ht="14.25" hidden="false" customHeight="true" outlineLevel="0" collapsed="false">
      <c r="A14" s="100" t="s">
        <v>462</v>
      </c>
      <c r="B14" s="103" t="n">
        <f aca="false">B9*B5*(1+$B$10)</f>
        <v>0.024</v>
      </c>
    </row>
    <row r="15" customFormat="false" ht="14.25" hidden="false" customHeight="true" outlineLevel="0" collapsed="false">
      <c r="A15" s="100" t="s">
        <v>463</v>
      </c>
      <c r="B15" s="103" t="n">
        <f aca="false">SUM(B12:B14)+B8*(1+$B$10)</f>
        <v>1.392</v>
      </c>
    </row>
    <row r="16" customFormat="false" ht="14.25" hidden="false" customHeight="true" outlineLevel="0" collapsed="false">
      <c r="A16" s="100" t="s">
        <v>464</v>
      </c>
      <c r="B16" s="103" t="n">
        <f aca="false">B5-B15</f>
        <v>3.608</v>
      </c>
    </row>
    <row r="17" customFormat="false" ht="14.25" hidden="false" customHeight="true" outlineLevel="0" collapsed="false">
      <c r="A17" s="100" t="s">
        <v>465</v>
      </c>
      <c r="B17" s="104" t="n">
        <f aca="false">B15/B5</f>
        <v>0.2784</v>
      </c>
    </row>
    <row r="19" customFormat="false" ht="14.25" hidden="false" customHeight="true" outlineLevel="0" collapsed="false">
      <c r="A19" s="97" t="s">
        <v>466</v>
      </c>
    </row>
    <row r="20" customFormat="false" ht="14.25" hidden="false" customHeight="true" outlineLevel="0" collapsed="false">
      <c r="A20" s="100" t="s">
        <v>467</v>
      </c>
      <c r="B20" s="105" t="n">
        <f aca="false">'Recurring Overhead'!B33</f>
        <v>10</v>
      </c>
    </row>
    <row r="21" customFormat="false" ht="14.25" hidden="false" customHeight="true" outlineLevel="0" collapsed="false">
      <c r="A21" s="100" t="s">
        <v>468</v>
      </c>
      <c r="B21" s="103" t="n">
        <f aca="false">B12*B20</f>
        <v>2.4</v>
      </c>
    </row>
    <row r="22" customFormat="false" ht="14.25" hidden="false" customHeight="true" outlineLevel="0" collapsed="false">
      <c r="A22" s="100" t="s">
        <v>469</v>
      </c>
      <c r="B22" s="103" t="n">
        <f aca="false">B15*B20</f>
        <v>13.92</v>
      </c>
    </row>
    <row r="24" customFormat="false" ht="14.25" hidden="false" customHeight="true" outlineLevel="0" collapsed="false">
      <c r="A24" s="98" t="s">
        <v>470</v>
      </c>
    </row>
    <row r="26" customFormat="false" ht="14.25" hidden="false" customHeight="true" outlineLevel="0" collapsed="false">
      <c r="A26" s="1" t="s">
        <v>471</v>
      </c>
    </row>
    <row r="27" customFormat="false" ht="14.25" hidden="false" customHeight="true" outlineLevel="0" collapsed="false">
      <c r="A27" s="99" t="s">
        <v>2</v>
      </c>
      <c r="B27" s="99" t="s">
        <v>472</v>
      </c>
      <c r="C27" s="99" t="s">
        <v>473</v>
      </c>
      <c r="D27" s="99" t="s">
        <v>474</v>
      </c>
      <c r="E27" s="99" t="s">
        <v>475</v>
      </c>
    </row>
    <row r="28" customFormat="false" ht="14.25" hidden="false" customHeight="true" outlineLevel="0" collapsed="false">
      <c r="A28" s="1" t="s">
        <v>476</v>
      </c>
      <c r="B28" s="101" t="n">
        <v>3</v>
      </c>
      <c r="C28" s="103" t="n">
        <f aca="false">(B28*($B$6+$B$7+$B$9)+$B$8)*(1+$B$10)</f>
        <v>0.9792</v>
      </c>
      <c r="D28" s="103" t="n">
        <f aca="false">B28-C28</f>
        <v>2.0208</v>
      </c>
      <c r="E28" s="104" t="n">
        <f aca="false">C28/B28</f>
        <v>0.3264</v>
      </c>
    </row>
    <row r="29" customFormat="false" ht="14.25" hidden="false" customHeight="true" outlineLevel="0" collapsed="false">
      <c r="A29" s="1" t="s">
        <v>477</v>
      </c>
      <c r="B29" s="101" t="n">
        <v>4</v>
      </c>
      <c r="C29" s="103" t="n">
        <f aca="false">(B29*($B$6+$B$7+$B$9)+$B$8)*(1+$B$10)</f>
        <v>1.1856</v>
      </c>
      <c r="D29" s="103" t="n">
        <f aca="false">B29-C29</f>
        <v>2.8144</v>
      </c>
      <c r="E29" s="104" t="n">
        <f aca="false">C29/B29</f>
        <v>0.2964</v>
      </c>
    </row>
    <row r="30" customFormat="false" ht="14.25" hidden="false" customHeight="true" outlineLevel="0" collapsed="false">
      <c r="A30" s="1" t="s">
        <v>478</v>
      </c>
      <c r="B30" s="101" t="n">
        <v>5</v>
      </c>
      <c r="C30" s="103" t="n">
        <f aca="false">(B30*($B$6+$B$7+$B$9)+$B$8)*(1+$B$10)</f>
        <v>1.392</v>
      </c>
      <c r="D30" s="103" t="n">
        <f aca="false">B30-C30</f>
        <v>3.608</v>
      </c>
      <c r="E30" s="104" t="n">
        <f aca="false">C30/B30</f>
        <v>0.2784</v>
      </c>
    </row>
    <row r="31" customFormat="false" ht="14.25" hidden="false" customHeight="true" outlineLevel="0" collapsed="false">
      <c r="A31" s="1" t="s">
        <v>479</v>
      </c>
      <c r="B31" s="101" t="n">
        <v>6</v>
      </c>
      <c r="C31" s="103" t="n">
        <f aca="false">(B31*($B$6+$B$7+$B$9)+$B$8)*(1+$B$10)</f>
        <v>1.5984</v>
      </c>
      <c r="D31" s="103" t="n">
        <f aca="false">B31-C31</f>
        <v>4.4016</v>
      </c>
      <c r="E31" s="104" t="n">
        <f aca="false">C31/B31</f>
        <v>0.2664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66796875" defaultRowHeight="15" zeroHeight="false" outlineLevelRow="0" outlineLevelCol="0"/>
  <sheetData>
    <row r="1" customFormat="false" ht="17.25" hidden="false" customHeight="true" outlineLevel="0" collapsed="false">
      <c r="A1" s="106" t="s">
        <v>480</v>
      </c>
    </row>
    <row r="2" customFormat="false" ht="14.25" hidden="false" customHeight="true" outlineLevel="0" collapsed="false">
      <c r="A2" s="98" t="s">
        <v>481</v>
      </c>
    </row>
    <row r="4" customFormat="false" ht="14.25" hidden="false" customHeight="true" outlineLevel="0" collapsed="false">
      <c r="A4" s="97" t="s">
        <v>482</v>
      </c>
    </row>
    <row r="5" customFormat="false" ht="14.25" hidden="false" customHeight="true" outlineLevel="0" collapsed="false">
      <c r="A5" s="99" t="s">
        <v>2</v>
      </c>
      <c r="B5" s="99" t="s">
        <v>87</v>
      </c>
      <c r="C5" s="99" t="s">
        <v>5</v>
      </c>
    </row>
    <row r="6" customFormat="false" ht="14.25" hidden="false" customHeight="true" outlineLevel="0" collapsed="false">
      <c r="A6" s="100" t="s">
        <v>483</v>
      </c>
      <c r="B6" s="101" t="n">
        <v>3</v>
      </c>
      <c r="C6" s="98" t="s">
        <v>484</v>
      </c>
    </row>
    <row r="7" customFormat="false" ht="14.25" hidden="false" customHeight="true" outlineLevel="0" collapsed="false">
      <c r="A7" s="100" t="s">
        <v>485</v>
      </c>
      <c r="B7" s="101" t="n">
        <v>0.16</v>
      </c>
      <c r="C7" s="98" t="s">
        <v>486</v>
      </c>
    </row>
    <row r="8" customFormat="false" ht="14.25" hidden="false" customHeight="true" outlineLevel="0" collapsed="false">
      <c r="A8" s="100" t="s">
        <v>487</v>
      </c>
      <c r="B8" s="102" t="n">
        <v>0.065</v>
      </c>
      <c r="C8" s="98" t="s">
        <v>488</v>
      </c>
    </row>
    <row r="9" customFormat="false" ht="14.25" hidden="false" customHeight="true" outlineLevel="0" collapsed="false">
      <c r="A9" s="100" t="s">
        <v>489</v>
      </c>
      <c r="B9" s="102" t="n">
        <v>0.04</v>
      </c>
      <c r="C9" s="98" t="s">
        <v>490</v>
      </c>
    </row>
    <row r="10" customFormat="false" ht="14.25" hidden="false" customHeight="true" outlineLevel="0" collapsed="false">
      <c r="A10" s="100" t="s">
        <v>491</v>
      </c>
      <c r="B10" s="101" t="n">
        <v>0.2</v>
      </c>
    </row>
    <row r="11" customFormat="false" ht="14.25" hidden="false" customHeight="true" outlineLevel="0" collapsed="false">
      <c r="A11" s="100" t="s">
        <v>492</v>
      </c>
      <c r="B11" s="102" t="n">
        <v>0.0032</v>
      </c>
      <c r="C11" s="98" t="s">
        <v>493</v>
      </c>
    </row>
    <row r="12" customFormat="false" ht="14.25" hidden="false" customHeight="true" outlineLevel="0" collapsed="false">
      <c r="A12" s="100" t="s">
        <v>494</v>
      </c>
      <c r="B12" s="102" t="n">
        <v>0.2</v>
      </c>
      <c r="C12" s="98" t="s">
        <v>495</v>
      </c>
    </row>
    <row r="13" customFormat="false" ht="14.25" hidden="false" customHeight="true" outlineLevel="0" collapsed="false">
      <c r="A13" s="100" t="s">
        <v>496</v>
      </c>
      <c r="B13" s="107" t="s">
        <v>109</v>
      </c>
      <c r="C13" s="98" t="s">
        <v>497</v>
      </c>
    </row>
    <row r="14" customFormat="false" ht="14.25" hidden="false" customHeight="true" outlineLevel="0" collapsed="false">
      <c r="A14" s="100" t="s">
        <v>498</v>
      </c>
      <c r="B14" s="102" t="n">
        <v>0.15</v>
      </c>
      <c r="C14" s="98" t="s">
        <v>499</v>
      </c>
    </row>
    <row r="15" customFormat="false" ht="14.25" hidden="false" customHeight="true" outlineLevel="0" collapsed="false">
      <c r="A15" s="100" t="s">
        <v>500</v>
      </c>
      <c r="B15" s="101" t="n">
        <v>1</v>
      </c>
      <c r="C15" s="98" t="s">
        <v>501</v>
      </c>
    </row>
    <row r="17" customFormat="false" ht="14.25" hidden="false" customHeight="true" outlineLevel="0" collapsed="false">
      <c r="A17" s="97" t="s">
        <v>502</v>
      </c>
    </row>
    <row r="18" customFormat="false" ht="14.25" hidden="false" customHeight="true" outlineLevel="0" collapsed="false">
      <c r="A18" s="100" t="s">
        <v>503</v>
      </c>
      <c r="B18" s="103" t="n">
        <f aca="false">B8*B6</f>
        <v>0.195</v>
      </c>
    </row>
    <row r="19" customFormat="false" ht="14.25" hidden="false" customHeight="true" outlineLevel="0" collapsed="false">
      <c r="A19" s="100" t="s">
        <v>504</v>
      </c>
      <c r="B19" s="103" t="n">
        <f aca="false">B9*B6+B10</f>
        <v>0.32</v>
      </c>
    </row>
    <row r="20" customFormat="false" ht="14.25" hidden="false" customHeight="true" outlineLevel="0" collapsed="false">
      <c r="A20" s="100" t="s">
        <v>505</v>
      </c>
      <c r="B20" s="103" t="n">
        <f aca="false">B11*B6</f>
        <v>0.0096</v>
      </c>
    </row>
    <row r="21" customFormat="false" ht="14.25" hidden="false" customHeight="true" outlineLevel="0" collapsed="false">
      <c r="A21" s="100" t="s">
        <v>506</v>
      </c>
      <c r="B21" s="103" t="n">
        <f aca="false">B7+B18+B19+B20</f>
        <v>0.6846</v>
      </c>
    </row>
    <row r="22" customFormat="false" ht="14.25" hidden="false" customHeight="true" outlineLevel="0" collapsed="false">
      <c r="A22" s="100" t="s">
        <v>507</v>
      </c>
      <c r="B22" s="103" t="n">
        <f aca="false">B21*B12</f>
        <v>0.13692</v>
      </c>
    </row>
    <row r="23" customFormat="false" ht="14.25" hidden="false" customHeight="true" outlineLevel="0" collapsed="false">
      <c r="A23" s="100" t="s">
        <v>508</v>
      </c>
      <c r="B23" s="103" t="n">
        <f aca="false">IF(B13="Y",B14*B6*(1+B12),0)</f>
        <v>0</v>
      </c>
    </row>
    <row r="24" customFormat="false" ht="14.25" hidden="false" customHeight="true" outlineLevel="0" collapsed="false">
      <c r="A24" s="100" t="s">
        <v>509</v>
      </c>
      <c r="B24" s="103" t="n">
        <f aca="false">B21+B22+B23</f>
        <v>0.82152</v>
      </c>
    </row>
    <row r="25" customFormat="false" ht="14.25" hidden="false" customHeight="true" outlineLevel="0" collapsed="false">
      <c r="A25" s="100" t="s">
        <v>510</v>
      </c>
      <c r="B25" s="103" t="n">
        <f aca="false">B6-B24</f>
        <v>2.17848</v>
      </c>
    </row>
    <row r="26" customFormat="false" ht="14.25" hidden="false" customHeight="true" outlineLevel="0" collapsed="false">
      <c r="A26" s="100" t="s">
        <v>511</v>
      </c>
      <c r="B26" s="104" t="n">
        <f aca="false">B24/B6</f>
        <v>0.27384</v>
      </c>
    </row>
    <row r="28" customFormat="false" ht="14.25" hidden="false" customHeight="true" outlineLevel="0" collapsed="false">
      <c r="A28" s="97" t="s">
        <v>512</v>
      </c>
    </row>
    <row r="29" customFormat="false" ht="14.25" hidden="false" customHeight="true" outlineLevel="0" collapsed="false">
      <c r="A29" s="100" t="s">
        <v>467</v>
      </c>
      <c r="B29" s="105" t="n">
        <f aca="false">'Recurring Overhead'!B33</f>
        <v>10</v>
      </c>
    </row>
    <row r="30" customFormat="false" ht="14.25" hidden="false" customHeight="true" outlineLevel="0" collapsed="false">
      <c r="A30" s="100" t="s">
        <v>513</v>
      </c>
      <c r="B30" s="103" t="n">
        <f aca="false">B24*B29</f>
        <v>8.2152</v>
      </c>
    </row>
    <row r="31" customFormat="false" ht="14.25" hidden="false" customHeight="true" outlineLevel="0" collapsed="false">
      <c r="A31" s="100" t="s">
        <v>514</v>
      </c>
      <c r="B31" s="103" t="n">
        <f aca="false">B15*30</f>
        <v>30</v>
      </c>
      <c r="C31" s="98" t="s">
        <v>515</v>
      </c>
    </row>
    <row r="33" customFormat="false" ht="14.25" hidden="false" customHeight="true" outlineLevel="0" collapsed="false">
      <c r="A33" s="98" t="s">
        <v>516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sheetData>
    <row r="1" customFormat="false" ht="17.25" hidden="false" customHeight="true" outlineLevel="0" collapsed="false">
      <c r="A1" s="106" t="s">
        <v>517</v>
      </c>
    </row>
    <row r="2" customFormat="false" ht="14.25" hidden="false" customHeight="true" outlineLevel="0" collapsed="false">
      <c r="A2" s="98" t="s">
        <v>518</v>
      </c>
    </row>
    <row r="4" customFormat="false" ht="14.25" hidden="false" customHeight="true" outlineLevel="0" collapsed="false">
      <c r="A4" s="97" t="s">
        <v>482</v>
      </c>
    </row>
    <row r="5" customFormat="false" ht="14.25" hidden="false" customHeight="true" outlineLevel="0" collapsed="false">
      <c r="A5" s="99" t="s">
        <v>2</v>
      </c>
      <c r="B5" s="99" t="s">
        <v>87</v>
      </c>
      <c r="C5" s="99" t="s">
        <v>5</v>
      </c>
    </row>
    <row r="6" customFormat="false" ht="14.25" hidden="false" customHeight="true" outlineLevel="0" collapsed="false">
      <c r="A6" s="100" t="s">
        <v>447</v>
      </c>
      <c r="B6" s="101" t="n">
        <v>3</v>
      </c>
      <c r="C6" s="98" t="s">
        <v>519</v>
      </c>
    </row>
    <row r="7" customFormat="false" ht="14.25" hidden="false" customHeight="true" outlineLevel="0" collapsed="false">
      <c r="A7" s="100" t="s">
        <v>520</v>
      </c>
      <c r="B7" s="102" t="n">
        <v>0.15</v>
      </c>
      <c r="C7" s="98" t="s">
        <v>521</v>
      </c>
    </row>
    <row r="8" customFormat="false" ht="14.25" hidden="false" customHeight="true" outlineLevel="0" collapsed="false">
      <c r="A8" s="100" t="s">
        <v>522</v>
      </c>
      <c r="B8" s="101" t="n">
        <v>0.25</v>
      </c>
      <c r="C8" s="98" t="s">
        <v>523</v>
      </c>
    </row>
    <row r="9" customFormat="false" ht="14.25" hidden="false" customHeight="true" outlineLevel="0" collapsed="false">
      <c r="A9" s="100" t="s">
        <v>524</v>
      </c>
      <c r="B9" s="102" t="n">
        <v>0.02</v>
      </c>
      <c r="C9" s="98" t="s">
        <v>525</v>
      </c>
    </row>
    <row r="10" customFormat="false" ht="14.25" hidden="false" customHeight="true" outlineLevel="0" collapsed="false">
      <c r="A10" s="100" t="s">
        <v>526</v>
      </c>
      <c r="B10" s="107" t="s">
        <v>109</v>
      </c>
      <c r="C10" s="98" t="s">
        <v>527</v>
      </c>
    </row>
    <row r="11" customFormat="false" ht="14.25" hidden="false" customHeight="true" outlineLevel="0" collapsed="false">
      <c r="A11" s="100" t="s">
        <v>528</v>
      </c>
      <c r="B11" s="101" t="n">
        <v>25</v>
      </c>
    </row>
    <row r="12" customFormat="false" ht="14.25" hidden="false" customHeight="true" outlineLevel="0" collapsed="false">
      <c r="A12" s="100" t="s">
        <v>529</v>
      </c>
      <c r="B12" s="101" t="n">
        <v>0.75</v>
      </c>
    </row>
    <row r="13" customFormat="false" ht="14.25" hidden="false" customHeight="true" outlineLevel="0" collapsed="false">
      <c r="A13" s="100" t="s">
        <v>530</v>
      </c>
      <c r="B13" s="102" t="n">
        <v>0.35</v>
      </c>
      <c r="C13" s="98" t="s">
        <v>531</v>
      </c>
    </row>
    <row r="15" customFormat="false" ht="14.25" hidden="false" customHeight="true" outlineLevel="0" collapsed="false">
      <c r="A15" s="97" t="s">
        <v>532</v>
      </c>
    </row>
    <row r="16" customFormat="false" ht="14.25" hidden="false" customHeight="true" outlineLevel="0" collapsed="false">
      <c r="A16" s="100" t="s">
        <v>533</v>
      </c>
      <c r="B16" s="103" t="n">
        <f aca="false">MAX(B7*B6,B8)</f>
        <v>0.45</v>
      </c>
    </row>
    <row r="17" customFormat="false" ht="14.25" hidden="false" customHeight="true" outlineLevel="0" collapsed="false">
      <c r="A17" s="100" t="s">
        <v>534</v>
      </c>
      <c r="B17" s="103" t="n">
        <f aca="false">B16*(1+B9)</f>
        <v>0.459</v>
      </c>
    </row>
    <row r="18" customFormat="false" ht="14.25" hidden="false" customHeight="true" outlineLevel="0" collapsed="false">
      <c r="A18" s="100" t="s">
        <v>535</v>
      </c>
      <c r="B18" s="103" t="n">
        <f aca="false">IF(B10="Y",0,B12)</f>
        <v>0.75</v>
      </c>
      <c r="C18" s="98" t="s">
        <v>536</v>
      </c>
    </row>
    <row r="19" customFormat="false" ht="14.25" hidden="false" customHeight="true" outlineLevel="0" collapsed="false">
      <c r="A19" s="100" t="s">
        <v>537</v>
      </c>
      <c r="B19" s="103" t="n">
        <f aca="false">B17+B18</f>
        <v>1.209</v>
      </c>
    </row>
    <row r="20" customFormat="false" ht="14.25" hidden="false" customHeight="true" outlineLevel="0" collapsed="false">
      <c r="A20" s="100" t="s">
        <v>538</v>
      </c>
      <c r="B20" s="103" t="n">
        <f aca="false">B6-B19</f>
        <v>1.791</v>
      </c>
    </row>
    <row r="21" customFormat="false" ht="14.25" hidden="false" customHeight="true" outlineLevel="0" collapsed="false">
      <c r="A21" s="100" t="s">
        <v>539</v>
      </c>
      <c r="B21" s="104" t="n">
        <f aca="false">B19/B6</f>
        <v>0.403</v>
      </c>
    </row>
    <row r="23" customFormat="false" ht="14.25" hidden="false" customHeight="true" outlineLevel="0" collapsed="false">
      <c r="A23" s="97" t="s">
        <v>540</v>
      </c>
    </row>
    <row r="24" customFormat="false" ht="14.25" hidden="false" customHeight="true" outlineLevel="0" collapsed="false">
      <c r="A24" s="100" t="s">
        <v>467</v>
      </c>
      <c r="B24" s="105" t="n">
        <f aca="false">'Recurring Overhead'!B33</f>
        <v>10</v>
      </c>
    </row>
    <row r="25" customFormat="false" ht="14.25" hidden="false" customHeight="true" outlineLevel="0" collapsed="false">
      <c r="A25" s="100" t="s">
        <v>541</v>
      </c>
      <c r="B25" s="103" t="n">
        <f aca="false">B19*B24</f>
        <v>12.09</v>
      </c>
    </row>
    <row r="26" customFormat="false" ht="14.25" hidden="false" customHeight="true" outlineLevel="0" collapsed="false">
      <c r="A26" s="100" t="s">
        <v>542</v>
      </c>
      <c r="B26" s="103" t="n">
        <f aca="false">IF(B10="Y",B11,0)</f>
        <v>0</v>
      </c>
    </row>
    <row r="27" customFormat="false" ht="14.25" hidden="false" customHeight="true" outlineLevel="0" collapsed="false">
      <c r="A27" s="100" t="s">
        <v>543</v>
      </c>
      <c r="B27" s="103" t="n">
        <f aca="false">IF(B10="Y",B13*B6*B24,0)</f>
        <v>0</v>
      </c>
      <c r="C27" s="98" t="s">
        <v>544</v>
      </c>
    </row>
    <row r="29" customFormat="false" ht="14.25" hidden="false" customHeight="true" outlineLevel="0" collapsed="false">
      <c r="A29" s="98" t="s">
        <v>545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150"/>
  </cols>
  <sheetData>
    <row r="1" customFormat="false" ht="17.25" hidden="false" customHeight="true" outlineLevel="0" collapsed="false">
      <c r="A1" s="2" t="s">
        <v>546</v>
      </c>
    </row>
    <row r="2" customFormat="false" ht="14.25" hidden="false" customHeight="true" outlineLevel="0" collapsed="false">
      <c r="A2" s="108" t="s">
        <v>547</v>
      </c>
    </row>
    <row r="3" customFormat="false" ht="14.25" hidden="false" customHeight="true" outlineLevel="0" collapsed="false">
      <c r="A3" s="109" t="s">
        <v>548</v>
      </c>
    </row>
    <row r="4" customFormat="false" ht="14.25" hidden="false" customHeight="true" outlineLevel="0" collapsed="false">
      <c r="A4" s="109" t="s">
        <v>549</v>
      </c>
    </row>
    <row r="5" customFormat="false" ht="14.25" hidden="false" customHeight="true" outlineLevel="0" collapsed="false">
      <c r="A5" s="109" t="s">
        <v>550</v>
      </c>
    </row>
    <row r="6" customFormat="false" ht="14.25" hidden="false" customHeight="true" outlineLevel="0" collapsed="false">
      <c r="A6" s="108" t="s">
        <v>551</v>
      </c>
    </row>
    <row r="7" customFormat="false" ht="14.25" hidden="false" customHeight="true" outlineLevel="0" collapsed="false">
      <c r="A7" s="109" t="s">
        <v>552</v>
      </c>
    </row>
    <row r="8" customFormat="false" ht="14.25" hidden="false" customHeight="true" outlineLevel="0" collapsed="false">
      <c r="A8" s="108" t="s">
        <v>553</v>
      </c>
    </row>
    <row r="9" customFormat="false" ht="14.25" hidden="false" customHeight="true" outlineLevel="0" collapsed="false">
      <c r="A9" s="109" t="s">
        <v>554</v>
      </c>
    </row>
    <row r="10" customFormat="false" ht="14.25" hidden="false" customHeight="true" outlineLevel="0" collapsed="false">
      <c r="A10" s="109" t="s">
        <v>555</v>
      </c>
    </row>
    <row r="11" customFormat="false" ht="14.25" hidden="false" customHeight="true" outlineLevel="0" collapsed="false">
      <c r="A11" s="109" t="s">
        <v>556</v>
      </c>
    </row>
    <row r="12" customFormat="false" ht="14.25" hidden="false" customHeight="true" outlineLevel="0" collapsed="false">
      <c r="A12" s="109" t="s">
        <v>557</v>
      </c>
    </row>
    <row r="13" customFormat="false" ht="14.25" hidden="false" customHeight="true" outlineLevel="0" collapsed="false">
      <c r="A13" s="109" t="s">
        <v>558</v>
      </c>
    </row>
    <row r="14" customFormat="false" ht="14.25" hidden="false" customHeight="true" outlineLevel="0" collapsed="false">
      <c r="A14" s="109" t="s">
        <v>559</v>
      </c>
    </row>
    <row r="15" customFormat="false" ht="14.25" hidden="false" customHeight="true" outlineLevel="0" collapsed="false">
      <c r="A15" s="109" t="s">
        <v>560</v>
      </c>
    </row>
    <row r="16" customFormat="false" ht="14.25" hidden="false" customHeight="true" outlineLevel="0" collapsed="false">
      <c r="A16" s="109" t="s">
        <v>561</v>
      </c>
    </row>
    <row r="17" customFormat="false" ht="14.25" hidden="false" customHeight="true" outlineLevel="0" collapsed="false">
      <c r="A17" s="108" t="s">
        <v>562</v>
      </c>
    </row>
    <row r="18" customFormat="false" ht="14.25" hidden="false" customHeight="true" outlineLevel="0" collapsed="false">
      <c r="A18" s="109" t="s">
        <v>563</v>
      </c>
    </row>
    <row r="19" customFormat="false" ht="14.25" hidden="false" customHeight="true" outlineLevel="0" collapsed="false">
      <c r="A19" s="109" t="s">
        <v>564</v>
      </c>
    </row>
    <row r="20" customFormat="false" ht="14.25" hidden="false" customHeight="true" outlineLevel="0" collapsed="false">
      <c r="A20" s="109" t="s">
        <v>565</v>
      </c>
    </row>
    <row r="21" customFormat="false" ht="14.25" hidden="false" customHeight="true" outlineLevel="0" collapsed="false">
      <c r="A21" s="109" t="s">
        <v>566</v>
      </c>
    </row>
    <row r="22" customFormat="false" ht="14.25" hidden="false" customHeight="true" outlineLevel="0" collapsed="false">
      <c r="A22" s="109" t="s">
        <v>567</v>
      </c>
    </row>
    <row r="23" customFormat="false" ht="14.25" hidden="false" customHeight="true" outlineLevel="0" collapsed="false">
      <c r="A23" s="109" t="s">
        <v>568</v>
      </c>
    </row>
    <row r="25" customFormat="false" ht="14.25" hidden="false" customHeight="true" outlineLevel="0" collapsed="false">
      <c r="A25" s="110" t="s">
        <v>569</v>
      </c>
    </row>
    <row r="26" customFormat="false" ht="14.25" hidden="false" customHeight="true" outlineLevel="0" collapsed="false">
      <c r="A26" s="61" t="s">
        <v>570</v>
      </c>
    </row>
    <row r="27" customFormat="false" ht="14.25" hidden="false" customHeight="true" outlineLevel="0" collapsed="false">
      <c r="A27" s="61" t="s">
        <v>571</v>
      </c>
    </row>
    <row r="28" customFormat="false" ht="14.25" hidden="false" customHeight="true" outlineLevel="0" collapsed="false">
      <c r="A28" s="61" t="s">
        <v>572</v>
      </c>
    </row>
    <row r="29" customFormat="false" ht="14.25" hidden="false" customHeight="true" outlineLevel="0" collapsed="false">
      <c r="A29" s="61" t="s">
        <v>573</v>
      </c>
    </row>
    <row r="30" customFormat="false" ht="14.25" hidden="false" customHeight="true" outlineLevel="0" collapsed="false">
      <c r="A30" s="61" t="s">
        <v>574</v>
      </c>
    </row>
    <row r="32" customFormat="false" ht="14.25" hidden="false" customHeight="true" outlineLevel="0" collapsed="false">
      <c r="A32" s="61" t="s">
        <v>575</v>
      </c>
    </row>
    <row r="34" customFormat="false" ht="14.25" hidden="false" customHeight="true" outlineLevel="0" collapsed="false">
      <c r="A34" s="54" t="s">
        <v>576</v>
      </c>
    </row>
    <row r="35" customFormat="false" ht="14.25" hidden="false" customHeight="true" outlineLevel="0" collapsed="false">
      <c r="A35" s="61" t="s">
        <v>577</v>
      </c>
    </row>
    <row r="36" customFormat="false" ht="14.25" hidden="false" customHeight="true" outlineLevel="0" collapsed="false">
      <c r="A36" s="61" t="s">
        <v>578</v>
      </c>
    </row>
    <row r="37" customFormat="false" ht="14.25" hidden="false" customHeight="true" outlineLevel="0" collapsed="false">
      <c r="A37" s="61" t="s">
        <v>579</v>
      </c>
    </row>
    <row r="38" customFormat="false" ht="14.25" hidden="false" customHeight="true" outlineLevel="0" collapsed="false">
      <c r="A38" s="61" t="s">
        <v>580</v>
      </c>
    </row>
    <row r="39" customFormat="false" ht="14.25" hidden="false" customHeight="true" outlineLevel="0" collapsed="false">
      <c r="A39" s="61" t="s">
        <v>581</v>
      </c>
    </row>
    <row r="41" customFormat="false" ht="14.25" hidden="false" customHeight="true" outlineLevel="0" collapsed="false">
      <c r="A41" s="54" t="s">
        <v>582</v>
      </c>
    </row>
    <row r="42" customFormat="false" ht="14.25" hidden="false" customHeight="true" outlineLevel="0" collapsed="false">
      <c r="A42" s="61" t="s">
        <v>583</v>
      </c>
    </row>
    <row r="43" customFormat="false" ht="14.25" hidden="false" customHeight="true" outlineLevel="0" collapsed="false">
      <c r="A43" s="61" t="s">
        <v>584</v>
      </c>
    </row>
    <row r="45" customFormat="false" ht="14.25" hidden="false" customHeight="true" outlineLevel="0" collapsed="false">
      <c r="A45" s="111" t="s">
        <v>585</v>
      </c>
    </row>
    <row r="46" customFormat="false" ht="28.5" hidden="false" customHeight="true" outlineLevel="0" collapsed="false">
      <c r="A46" s="51" t="s">
        <v>586</v>
      </c>
    </row>
    <row r="47" customFormat="false" ht="28.5" hidden="false" customHeight="true" outlineLevel="0" collapsed="false">
      <c r="A47" s="51" t="s">
        <v>587</v>
      </c>
    </row>
    <row r="48" customFormat="false" ht="28.5" hidden="false" customHeight="true" outlineLevel="0" collapsed="false">
      <c r="A48" s="51" t="s">
        <v>588</v>
      </c>
    </row>
    <row r="49" customFormat="false" ht="28.5" hidden="false" customHeight="true" outlineLevel="0" collapsed="false">
      <c r="A49" s="51" t="s">
        <v>589</v>
      </c>
    </row>
    <row r="50" customFormat="false" ht="14.25" hidden="false" customHeight="true" outlineLevel="0" collapsed="false">
      <c r="A50" s="51" t="s">
        <v>590</v>
      </c>
    </row>
    <row r="52" customFormat="false" ht="14.25" hidden="false" customHeight="true" outlineLevel="0" collapsed="false">
      <c r="A52" s="111" t="s">
        <v>591</v>
      </c>
    </row>
    <row r="53" customFormat="false" ht="14.25" hidden="false" customHeight="true" outlineLevel="0" collapsed="false">
      <c r="A53" s="51" t="s">
        <v>592</v>
      </c>
    </row>
    <row r="54" customFormat="false" ht="27.75" hidden="false" customHeight="true" outlineLevel="0" collapsed="false">
      <c r="A54" s="51" t="s">
        <v>593</v>
      </c>
    </row>
    <row r="55" customFormat="false" ht="27.75" hidden="false" customHeight="true" outlineLevel="0" collapsed="false">
      <c r="A55" s="51" t="s">
        <v>594</v>
      </c>
    </row>
    <row r="56" customFormat="false" ht="27.75" hidden="false" customHeight="true" outlineLevel="0" collapsed="false">
      <c r="A56" s="51" t="s">
        <v>595</v>
      </c>
    </row>
    <row r="57" customFormat="false" ht="14.25" hidden="false" customHeight="true" outlineLevel="0" collapsed="false">
      <c r="A57" s="51" t="s">
        <v>596</v>
      </c>
    </row>
    <row r="59" customFormat="false" ht="15.75" hidden="false" customHeight="true" outlineLevel="0" collapsed="false">
      <c r="A59" s="111" t="s">
        <v>597</v>
      </c>
    </row>
    <row r="60" customFormat="false" ht="31.5" hidden="false" customHeight="true" outlineLevel="0" collapsed="false">
      <c r="A60" s="51" t="s">
        <v>598</v>
      </c>
    </row>
    <row r="61" customFormat="false" ht="31.5" hidden="false" customHeight="true" outlineLevel="0" collapsed="false">
      <c r="A61" s="51" t="s">
        <v>599</v>
      </c>
    </row>
    <row r="62" customFormat="false" ht="15.75" hidden="false" customHeight="true" outlineLevel="0" collapsed="false">
      <c r="A62" s="51" t="s">
        <v>600</v>
      </c>
    </row>
    <row r="64" customFormat="false" ht="15" hidden="false" customHeight="true" outlineLevel="0" collapsed="false">
      <c r="A64" s="111" t="s">
        <v>601</v>
      </c>
    </row>
    <row r="65" customFormat="false" ht="27.75" hidden="false" customHeight="true" outlineLevel="0" collapsed="false">
      <c r="A65" s="51" t="s">
        <v>602</v>
      </c>
    </row>
    <row r="66" customFormat="false" ht="27.75" hidden="false" customHeight="true" outlineLevel="0" collapsed="false">
      <c r="A66" s="51" t="s">
        <v>603</v>
      </c>
    </row>
    <row r="68" customFormat="false" ht="15" hidden="false" customHeight="false" outlineLevel="0" collapsed="false">
      <c r="A68" s="111" t="s">
        <v>604</v>
      </c>
    </row>
    <row r="69" customFormat="false" ht="28.35" hidden="false" customHeight="false" outlineLevel="0" collapsed="false">
      <c r="A69" s="51" t="s">
        <v>605</v>
      </c>
    </row>
    <row r="70" customFormat="false" ht="28.35" hidden="false" customHeight="false" outlineLevel="0" collapsed="false">
      <c r="A70" s="51" t="s">
        <v>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2026-07-22T19:17:07Z</dcterms:created>
  <dc:creator>openpyxl</dc:creator>
  <dc:description/>
  <dc:language>en-US</dc:language>
  <cp:lastModifiedBy>Stroh, Liron CIOT-TPA</cp:lastModifiedBy>
  <dcterms:modified xsi:type="dcterms:W3CDTF">2026-10-06T22:10:41Z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