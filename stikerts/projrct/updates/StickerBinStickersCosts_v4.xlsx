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Tier 1 Equipment Costs" sheetId="1" state="visible" r:id="rId3"/>
    <sheet name="Bin Stickers 100x140 4pk" sheetId="2" state="visible" r:id="rId4"/>
    <sheet name="Bin Stickers 202x140 2pk" sheetId="3" state="visible" r:id="rId5"/>
    <sheet name="Bin Stickers 280x200 1pk" sheetId="4" state="visible" r:id="rId6"/>
    <sheet name="Recurring Overhead" sheetId="5" state="visible" r:id="rId7"/>
    <sheet name="cost per item" sheetId="6" state="visible" r:id="rId8"/>
    <sheet name="Ebay costs" sheetId="7" state="visible" r:id="rId9"/>
    <sheet name="Etsy" sheetId="8" state="visible" r:id="rId10"/>
    <sheet name="Amazon" sheetId="9" state="visible" r:id="rId11"/>
    <sheet name="Merge not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<sst xmlns="http://schemas.openxmlformats.org/spreadsheetml/2006/main" count="641" uniqueCount="385">
  <si>
    <t xml:space="preserve">Tier 1 Equipment Costs — Sticker Side Hustle</t>
  </si>
  <si>
    <t xml:space="preserve">Prices checked July–Sep 2026 (GBP; Explore 5, ET-3950 and laminator re-checked 19 Sep 2026). Blue = editable input. Black = calculated.</t>
  </si>
  <si>
    <t xml:space="preserve">Item</t>
  </si>
  <si>
    <t xml:space="preserve">Low (£)</t>
  </si>
  <si>
    <t xml:space="preserve">Category</t>
  </si>
  <si>
    <t xml:space="preserve">Notes</t>
  </si>
  <si>
    <t xml:space="preserve">Epson EcoTank ET-3950 (pigment-ink printer, current gen)</t>
  </si>
  <si>
    <t xml:space="preserve">Core</t>
  </si>
  <si>
    <t xml:space="preserve">Pigment black ink for waterproof prints. Epson UK £369.99 (before a £50 cashback offer), checked 19 Sep 2026</t>
  </si>
  <si>
    <t xml:space="preserve">Printable vinyl sticker paper (starter pack)</t>
  </si>
  <si>
    <t xml:space="preserve">A4 waterproof printable vinyl</t>
  </si>
  <si>
    <t xml:space="preserve">moved to r&amp;d</t>
  </si>
  <si>
    <t xml:space="preserve">Self-adhesive laminate sheets + squeegee</t>
  </si>
  <si>
    <t xml:space="preserve">Cold lamination sheets, feeds through laminator</t>
  </si>
  <si>
    <t xml:space="preserve">Manual cold roll laminator (Stickiply 14", 35cm) — ordered</t>
  </si>
  <si>
    <t xml:space="preserve">Ordered Sep 2026; Stickiply list price £115 checked 19 Sep 2026. Promoted from optional — removes bubble/wrinkle risk vs hand-applying</t>
  </si>
  <si>
    <t xml:space="preserve">Stickiply</t>
  </si>
  <si>
    <t xml:space="preserve">Backup Epson 101/102 ink bottles</t>
  </si>
  <si>
    <t xml:space="preserve">UK naming (not '502' — that's US)</t>
  </si>
  <si>
    <t xml:space="preserve">A4 guillotine/paper trimmer (metal-base)</t>
  </si>
  <si>
    <t xml:space="preserve">Trims the kiss-cut sheet into separate backed stickers (and thank-you cards to A6). Cricut cut-only now does the cutting — see Equipment Guide</t>
  </si>
  <si>
    <t xml:space="preserve">Cricut Explore 5 — Ultimate Bundle (cutting machine)</t>
  </si>
  <si>
    <t xml:space="preserve">Paid £330 (Sep 2026). Cut-only for all bin sticker sizes — see Equipment Guide</t>
  </si>
  <si>
    <t xml:space="preserve">CORE SUBTOTAL (required to start)</t>
  </si>
  <si>
    <t xml:space="preserve">ON HOLD — decide after test cuts (not in core total)</t>
  </si>
  <si>
    <t xml:space="preserve">Corner rounder punch (3-in-1)</t>
  </si>
  <si>
    <t xml:space="preserve">On hold</t>
  </si>
  <si>
    <t xml:space="preserve">Likely superseded: the Cricut cuts the rounded corners</t>
  </si>
  <si>
    <t xml:space="preserve">Slice 00200/00100 safety cutter</t>
  </si>
  <si>
    <t xml:space="preserve">May still help with a peel-start once the backing is trimmed flush — decide after test cuts</t>
  </si>
  <si>
    <t xml:space="preserve">Self-Healing Cutting Mat (A4)</t>
  </si>
  <si>
    <t xml:space="preserve">Was for the Slice workflow</t>
  </si>
  <si>
    <t xml:space="preserve">ON HOLD SUBTOTAL</t>
  </si>
  <si>
    <t xml:space="preserve">Optional Equipment (not required to launch)</t>
  </si>
  <si>
    <t xml:space="preserve">Cricut Access Standard subscription (annual)</t>
  </si>
  <si>
    <t xml:space="preserve">Optional</t>
  </si>
  <si>
    <t xml:space="preserve">~$9.99/mo; not needed for custom text/number designs — free tier covers your use case</t>
  </si>
  <si>
    <t xml:space="preserve">OPTIONAL SUBTOTAL</t>
  </si>
  <si>
    <t xml:space="preserve">TOTAL — Core + Cricut Access (recommended launch budget)</t>
  </si>
  <si>
    <t xml:space="preserve">Removed Sep 2026: the Cricut Essential Bundle and 6-ct sticker set alternatives (the Ultimate Bundle was bought; the 20-ct set is in the R&amp;D list below). On-hold tools are excluded from all totals until decided.</t>
  </si>
  <si>
    <t xml:space="preserve">R&amp;D / Testing Materials (one-off, sunk cost — see Bin-Sticker-Material-Test-Plan.md)</t>
  </si>
  <si>
    <t xml:space="preserve">count</t>
  </si>
  <si>
    <t xml:space="preserve">Matte Self-Adhesive Laminate | Pro UV × 1</t>
  </si>
  <si>
    <t xml:space="preserve">Stickiply </t>
  </si>
  <si>
    <t xml:space="preserve">Printable Vinyl Sticker Paper | Clear (A4) × 1</t>
  </si>
  <si>
    <t xml:space="preserve">R&amp;D</t>
  </si>
  <si>
    <t xml:space="preserve">One-off purchase of all 4 packaging candidates for side-by-side comparison. See Bin-Sticker-Shipping-Plan.md 'Testing shopping list' (~£33–35 total as pinned there — update once actually spent).</t>
  </si>
  <si>
    <t xml:space="preserve">Printable Vinyl Sticker Paper | Glossy (A4) × 1</t>
  </si>
  <si>
    <t xml:space="preserve">2nd Class postage for the 4 test parcels in Test 6. See Bin-Sticker-Shipping-Plan.md.</t>
  </si>
  <si>
    <t xml:space="preserve">Brown Kraft Card, A4 Card 250GSM Thick Kraft Card Stock for Cards Making, Scrapbook, Office Printing and Arts or Crafts DIY (25 Sheets)</t>
  </si>
  <si>
    <t xml:space="preserve">amazon</t>
  </si>
  <si>
    <t xml:space="preserve">Double Dragon 50-Pack A6 C6 Manilla Hard Board Backed Envelopes | 162mm x 114mm | 'Please Do Not Bend' Printed | Padded &amp; Tamper-Proof | Self-Seal Closure</t>
  </si>
  <si>
    <t xml:space="preserve">White Card, A4 Card 250GSM Thick Card Stock for Cards Making, Scrapbook, Office Printing and Arts or Crafts DIY (25 Sheets)</t>
  </si>
  <si>
    <t xml:space="preserve">SmithPackaging A4 Self Adhesive Address Labels, 1 Label Per Sheet, 100 Sheets, 199.6 x 289.1mm, 100 Labels</t>
  </si>
  <si>
    <t xml:space="preserve">40 Sheets of Acid Free Tissue Paper Cool White MG 17gsm Clothing Storage Gift Wrapping Decorative Sketch and Cutting Large Tissue Paper for Art Craft and Packing - 500mm x 750mm</t>
  </si>
  <si>
    <t xml:space="preserve">Triplast White Bubble Padded Envelopes - Pick Qty &amp; Size: 10 x 1/A (100x165mm) A6 Envelopes - Large Letter Postal Bags with Bubble Wrap Lining and Peel &amp; Seal Strip for Royal Mail Shipping &amp; Postage</t>
  </si>
  <si>
    <t xml:space="preserve">AKAR White A6/C6 Large Letter Postal Box - 112x163x20 mm - Letterbox Pip Royal Mail Small Boxes for Posting [Pack of 50]</t>
  </si>
  <si>
    <t xml:space="preserve">Printable Waterproof Sticker Set – A4 (20 ct), White</t>
  </si>
  <si>
    <t xml:space="preserve">cricut</t>
  </si>
  <si>
    <t xml:space="preserve">Shipping</t>
  </si>
  <si>
    <t xml:space="preserve">Printable Waterproof Sticker Set – A4 (20 ct), Transparent</t>
  </si>
  <si>
    <t xml:space="preserve">R&amp;D SUBTOTAL</t>
  </si>
  <si>
    <t xml:space="preserve">TOTAL SUNK STARTUP COST (Core Equipment + R&amp;D Materials)</t>
  </si>
  <si>
    <t xml:space="preserve">Excludes Optional and On-hold items (Cricut Access, corner punch, Slice, mat).</t>
  </si>
  <si>
    <t xml:space="preserve">BREAK-EVEN CALCULATOR</t>
  </si>
  <si>
    <t xml:space="preserve">Live model. Price and eBay fees come from the 'Ebay costs' sheet, direct costs from the 'Bin Stickers 100x140 4pk' sheet, overhead from 'Recurring Overhead' (active volume scenario). Change those cells and everything here updates.</t>
  </si>
  <si>
    <t xml:space="preserve">Sale price per pack, eBay (£)</t>
  </si>
  <si>
    <t xml:space="preserve">Set on the 'Ebay costs' sheet (eBay price £4.00, Sep 2026)</t>
  </si>
  <si>
    <t xml:space="preserve">eBay fees per pack incl. ads (£)</t>
  </si>
  <si>
    <t xml:space="preserve">FVF + regulatory fee + per-order fee + Promoted Listings ad rate</t>
  </si>
  <si>
    <t xml:space="preserve">Direct cost per pack (£)</t>
  </si>
  <si>
    <t xml:space="preserve">Materials + packaging + postage + address label + thank-you card. Excludes recurring overhead</t>
  </si>
  <si>
    <t xml:space="preserve">→ Profit per pack before overhead (£)</t>
  </si>
  <si>
    <t xml:space="preserve">Total sunk startup cost (from above)</t>
  </si>
  <si>
    <t xml:space="preserve">→ Packs needed to recover startup cost</t>
  </si>
  <si>
    <t xml:space="preserve">→ Individual stickers to recover startup cost</t>
  </si>
  <si>
    <t xml:space="preserve">Monthly recurring overhead (£)</t>
  </si>
  <si>
    <t xml:space="preserve">Fixed monthly subscriptions incl. virtual office (£250/yr ÷ 12)</t>
  </si>
  <si>
    <t xml:space="preserve">→ Packs per month needed to cover overhead</t>
  </si>
  <si>
    <t xml:space="preserve">→ Stickers per month needed to cover overhead</t>
  </si>
  <si>
    <t xml:space="preserve">Active overhead scenario volume (stickers/month)</t>
  </si>
  <si>
    <t xml:space="preserve">From 'Recurring Overhead' active scenario</t>
  </si>
  <si>
    <t xml:space="preserve">→ Monthly profit after overhead at that volume (£)</t>
  </si>
  <si>
    <t xml:space="preserve">If profit per pack before overhead is zero or negative, the break-even figures show N/A. Overhead is shown as a fixed monthly amount rather than per pack, because per-pack overhead depends on volume.</t>
  </si>
  <si>
    <t xml:space="preserve">Bin Stickers — 100×140mm, 4-Pack (1 A4 sheet) — Cost Breakdown</t>
  </si>
  <si>
    <t xml:space="preserve">Blue = editable input. Black = calculated. Yellow highlight = key assumption to review. Prices checked July 2026 (GBP).</t>
  </si>
  <si>
    <t xml:space="preserve">PRODUCT SPEC</t>
  </si>
  <si>
    <t xml:space="preserve">Value</t>
  </si>
  <si>
    <t xml:space="preserve">Sticker size (mm)</t>
  </si>
  <si>
    <t xml:space="preserve">100 x 140</t>
  </si>
  <si>
    <t xml:space="preserve">Reduced from 150mm to fit 4-up on a single A4 sheet with cutting margin (mathematical max for 2x2 grid is 105x148.5mm = A6; trimmed further to leave a clean guillotine-cut margin (cutting method updated July 2026 — see Business Plan Section 10; no longer uses Cricut Print Then Cut for this product)). Matches the reference listing's overall concept, just resized to fit one page. Note (Aug 2026): the landscape 140x100mm line (D01-D03) has identical area to this 100x140mm portrait sheet, so it fits 4-up on one A4 page the same way and this sheet's materials cost figures (rows 12-18) apply unchanged -- no separate cost row added for it. See Bin-Sticker-Shipping-Plan.md for the packaging question, which does differ by shape.</t>
  </si>
  <si>
    <t xml:space="preserve">Stickers per pack</t>
  </si>
  <si>
    <t xml:space="preserve">Standard pack size in this category</t>
  </si>
  <si>
    <t xml:space="preserve">A4 pages needed per pack</t>
  </si>
  <si>
    <t xml:space="preserve">Updated: at 100x140mm, all 4 stickers fit on a single A4 sheet (2x2 grid, ~8-8.5mm margin around each). No longer needs 2 sheets — this halves the materials cost per pack vs the original 150mm-tall version.</t>
  </si>
  <si>
    <t xml:space="preserve">MATERIALS COST (per A4 page)</t>
  </si>
  <si>
    <t xml:space="preserve">Cost (£)</t>
  </si>
  <si>
    <t xml:space="preserve">Vinyl (printable, per A4 sheet)</t>
  </si>
  <si>
    <t xml:space="preserve">Per A4 sheet, from the Cricut 20-ct set (£6.50 vinyl per 20 sheets, ex-shipping) — see 'cost per item' sheet. Stickiply's per-sheet cost is higher at small pack sizes. Value confirmed by user Sep 2026.</t>
  </si>
  <si>
    <t xml:space="preserve">Laminate (cold, per A4 sheet)</t>
  </si>
  <si>
    <t xml:space="preserve">Per A4 sheet, from the Cricut 20-ct set (£6.50 laminate per 20 sheets, ex-shipping) — see 'cost per item' sheet. Value confirmed by user Sep 2026.</t>
  </si>
  <si>
    <t xml:space="preserve">Ink (colour, per A4 page)</t>
  </si>
  <si>
    <t xml:space="preserve">£0.10 per page — deliberate conservative placeholder (user, Sep 2026); not yet calibrated. EcoTank's real cost is likely lower (under 1p/page at 5% coverage in ISO tests) — refine once you can measure bottle depletion on real designs.</t>
  </si>
  <si>
    <t xml:space="preserve">Subtotal: cost per A4 page (vinyl + laminate + ink)</t>
  </si>
  <si>
    <t xml:space="preserve">Pages per pack (from Product Spec above)</t>
  </si>
  <si>
    <t xml:space="preserve">MATERIALS COST PER PACK (4 stickers)</t>
  </si>
  <si>
    <t xml:space="preserve">PACKAGING OPTIONS (from Test 6 — see Bin-Sticker-Material-Test-Plan.md)</t>
  </si>
  <si>
    <t xml:space="preserve">Option</t>
  </si>
  <si>
    <t xml:space="preserve">Cost/pack (£)</t>
  </si>
  <si>
    <t xml:space="preserve">Kraft envelope + tissue (flat wrap)</t>
  </si>
  <si>
    <t xml:space="preserve">Cheapest, lowest transit protection — sheet can flex/crease in a stuffed mailbag. Materials: C6 kraft envelope (~£6-7/50, Amazon UK) + tissue offcut. Packed thickness &lt;1mm — qualifies for Royal Mail Letter rate, not just Large Letter. Matches what most Etsy bin-sticker/decal sellers use as default (see Competitor Research).</t>
  </si>
  <si>
    <t xml:space="preserve">Kraft envelope + rigid backing card (no padding)</t>
  </si>
  <si>
    <t xml:space="preserve">Same envelope as above, tissue swapped for a rigid cardstock backing card (made in-house from offcuts, near-zero marginal cost per Business Plan Section 7). Resists bending/creasing without adding real thickness (~0.5mm) — the one candidate that might combine Letter-rate postage with better-than-plain-wrap protection. No cushioning against knocks/crushing, unlike a padded mailer or box.</t>
  </si>
  <si>
    <t xml:space="preserve">Padded mailer (Mail Lite A/000, 110×160mm)</t>
  </si>
  <si>
    <t xml:space="preserve">Cushions knocks in transit, stays flat and cheap to post. ~£11.66/100 (~5g each), confirmed by supplier as Royal Mail Large Letter sized. Packed thickness ~5-10mm — the padding itself rules out the Letter rate; no genuinely thin padded/bubble mailer exists that fits under 5mm.</t>
  </si>
  <si>
    <t xml:space="preserve">C6 box (163×112×20mm, rigid)</t>
  </si>
  <si>
    <t xml:space="preserve">Best transit protection and strongest 'unboxing' presentation — matches the gift-feel packaging described in Business Plan Section 7. £6.54-6.89/50 (Forms Plus). 20mm depth stays under the 25mm Royal Mail Large Letter thickness limit, but is well over the 5mm Letter limit.</t>
  </si>
  <si>
    <t xml:space="preserve">A6/C6 board-backed 'Do Not Bend' envelope (flat)</t>
  </si>
  <si>
    <t xml:space="preserve">Confirmed choice (Sep 2026), ~£0.25 per pack (sourced). Not one of the original four Test 6 candidates — Test 6 still needs to validate it in the post. Note the R&amp;D test purchase (Double Dragon 50-pack) works out at £0.147 each: reconcile which supplier you will actually use.</t>
  </si>
  <si>
    <t xml:space="preserve">Selected packaging option (confirmed Sep 2026; Test 6 still to validate)</t>
  </si>
  <si>
    <t xml:space="preserve">Must exactly match one of the five option labels above (A22:A26). Switch here to re-model.</t>
  </si>
  <si>
    <t xml:space="preserve">→ Packaging cost per pack (pulled from selection above)</t>
  </si>
  <si>
    <t xml:space="preserve">TOTAL COST PER PACK (materials + packaging, excl. shipping)</t>
  </si>
  <si>
    <t xml:space="preserve">Cost per individual sticker (excl. shipping)</t>
  </si>
  <si>
    <t xml:space="preserve">THANK-YOU CARD (per pack — 1 card included per order; see Business Plan Section 7 &amp; chat history for card design)</t>
  </si>
  <si>
    <t xml:space="preserve">Cardstock (per card — 1/4 of an A4 250gsm sheet, white or kraft)</t>
  </si>
  <si>
    <t xml:space="preserve">A4 250gsm cardstock ~£0.08/sheet ÷ 4 cards (A6 size, exactly 1/4 of A4, cut with the guillotine) = £0.02/card. Kraft cardstock runs higher (~£0.15-0.30/sheet ÷ 4 ≈ £0.04-0.08/card) — this figure uses the white/cream cardstock estimate; edit this cell if you settle on kraft instead.</t>
  </si>
  <si>
    <t xml:space="preserve">Ink (light coverage — flower motif + text, much lighter than a full sticker print)</t>
  </si>
  <si>
    <t xml:space="preserve">Same £0.10 per page placeholder as the sticker ink above (user, Sep 2026). Light coverage means the true cost is lower.</t>
  </si>
  <si>
    <t xml:space="preserve">Subtotal: thank-you card cost per pack</t>
  </si>
  <si>
    <t xml:space="preserve">Total</t>
  </si>
  <si>
    <t xml:space="preserve">SHIPPING — Royal Mail estimated prices (checked July 2026)</t>
  </si>
  <si>
    <t xml:space="preserve">Service</t>
  </si>
  <si>
    <t xml:space="preserve">Price (£)</t>
  </si>
  <si>
    <t xml:space="preserve">2nd Class Standard (untracked) — Letter, up to 100g</t>
  </si>
  <si>
    <t xml:space="preserve">Sources show ~85-91p for the current rate; £0.91 used here — confirm the exact figure in Click &amp; Drop at checkout. Only available if the packed item is under 240x165x5mm and 100g.</t>
  </si>
  <si>
    <t xml:space="preserve">2nd Class Standard (untracked) — Large Letter, up to 100g</t>
  </si>
  <si>
    <t xml:space="preserve">Default/standard tier per Business Plan Section 8 — typically absorbed into item price, not charged separately at checkout. The only option available for the padded mailer and box candidates, since their thickness rules out the Letter rate.</t>
  </si>
  <si>
    <t xml:space="preserve">2nd Class (untracked) — Large Letter, up to 250g</t>
  </si>
  <si>
    <t xml:space="preserve">Applies if the packed 4-pack + packaging crosses the 100g threshold — confirm on a kitchen scale.</t>
  </si>
  <si>
    <t xml:space="preserve">Tracked 48 — Large Letter</t>
  </si>
  <si>
    <t xml:space="preserve">Optional paid upgrade (+£1.50-2.00 over standard per Business Plan Section 8).</t>
  </si>
  <si>
    <t xml:space="preserve">Tracked 24 — Large Letter</t>
  </si>
  <si>
    <t xml:space="preserve">Optional paid upgrade (+£3.00). 'Aims for' next working day — not a guarantee.</t>
  </si>
  <si>
    <t xml:space="preserve">Special Delivery Guaranteed by 1pm</t>
  </si>
  <si>
    <t xml:space="preserve">For bundled/high-value orders (£20+) only, per Business Plan Section 8 — not the standard single-pack tier.</t>
  </si>
  <si>
    <t xml:space="preserve">Selected shipping tier (for landed cost below)</t>
  </si>
  <si>
    <t xml:space="preserve">Default set to Large Letter (£1.55) until Test 6 shows the packed order measures under 5mm and 100g; then switch to the Letter row (A40) for the saving. Must exactly match one of the six service labels above (A40:A45).</t>
  </si>
  <si>
    <t xml:space="preserve">→ Shipping cost per pack (pulled from selection above)</t>
  </si>
  <si>
    <t xml:space="preserve">SHIPPING LABEL — address label (Click &amp; Drop)</t>
  </si>
  <si>
    <t xml:space="preserve">A4 self-adhesive address label pack — price (£)</t>
  </si>
  <si>
    <t xml:space="preserve">SmithPackaging A4 self-adhesive address labels, 100 sheets (R&amp;D purchase, Tier 1 sheet row 37). Chosen by user Sep 2026 over the Avery J8160 pack (~£33 per 25 sheets).</t>
  </si>
  <si>
    <t xml:space="preserve">Sheets per pack</t>
  </si>
  <si>
    <t xml:space="preserve">→ Price per A4 sheet</t>
  </si>
  <si>
    <t xml:space="preserve">Labels printed per sheet (batch assumption)</t>
  </si>
  <si>
    <t xml:space="preserve">This product is one full-A4 label per sheet (199.6 x 289.1mm), so 1 label per sheet is assumed (conservative). If you print 3 shipping labels on one sheet and cut them apart, set this to 3 (cost falls to £0.03). Plain paper + tape (~1-2p) is also officially supported by Royal Mail.</t>
  </si>
  <si>
    <t xml:space="preserve">→ Cost per address label (sheet price ÷ labels used)</t>
  </si>
  <si>
    <t xml:space="preserve">TOTAL LANDED COST PER PACK (materials + packaging + shipping + label + thank-you card)</t>
  </si>
  <si>
    <t xml:space="preserve">Cost per individual sticker (all-in incl. shipping + label)</t>
  </si>
  <si>
    <t xml:space="preserve">Shipping (postage) is typically absorbed into the item's list price rather than charged separately at checkout (standard/free-shipping is the competitor norm - see Business Plan Section 8), so the TOTAL LANDED COST row above represents your true all-in cost basis for pricing decisions, not necessarily a line the customer sees itemised. Change 'Selected packaging option' (B27) or 'Selected shipping tier' (B47) to re-model - e.g. once Test 6 confirms the backing-card option stays under 5mm/100g, switch B47 to the Letter-rate row for the biggest cost saving. The thank-you card subtotal (B36) is a fixed per-pack cost regardless of packaging/shipping choice.</t>
  </si>
  <si>
    <t xml:space="preserve">RECURRING OVERHEAD PER UNIT (from 'Recurring Overhead' sheet)</t>
  </si>
  <si>
    <t xml:space="preserve">Overhead cost per sticker (£)</t>
  </si>
  <si>
    <t xml:space="preserve">Live link to the Recurring Overhead sheet's ACTIVE SCENARIO figure (subscriptions ÷ chosen scenario's monthly volume). Defaults to the Conservative scenario — change the dropdown on that sheet to switch which scenario feeds this and the Break-Even Calculator.</t>
  </si>
  <si>
    <t xml:space="preserve">Overhead cost per pack (4 stickers) (£)</t>
  </si>
  <si>
    <t xml:space="preserve">TOTAL LANDED COST PER PACK, INCL. OVERHEAD (£)</t>
  </si>
  <si>
    <t xml:space="preserve">Cost per individual sticker, incl. overhead (£)</t>
  </si>
  <si>
    <t xml:space="preserve">Direct cost per pack is B58 (excludes recurring overhead). The Break-Even Calculator on the Tier 1 sheet uses B58 and shows overhead separately; B68 here is the all-in floor price if the active overhead scenario were spread across every sticker.</t>
  </si>
  <si>
    <t xml:space="preserve">Bin Stickers — 202×140mm, 2-Pack (1 A4 sheet) — Cost Breakdown</t>
  </si>
  <si>
    <t xml:space="preserve">Blue = editable input. Black = calculated. Yellow highlight = key assumption to review. Sizing/print-margin figures confirmed via a real paper print test, Sep 2026 (see chat history 'Custom bin sticker sheet layout specifications' follow-up) — prices checked July 2026 (GBP). Green = linked from the baseline 100x140 sheet (edit it there).</t>
  </si>
  <si>
    <t xml:space="preserve">202 x 140</t>
  </si>
  <si>
    <t xml:space="preserve">New MEDIUM tier: 202×140mm, two stacked per A4 sheet. Trimmed from 210mm (Sep 2026) so it prints in NORMAL (bordered) mode — the Epson EcoTank ET-3950's normal printable width is 204mm, leaving about 1mm spare each side — which avoids the borderless dead zone (~2-4mm, asymmetric) measured in the earlier print test. Two 140mm cards stack to 280mm, which is the maximum height inside the measured 8.5mm top/bottom margins. Close to the 21×14cm size sold by a real competitor (House Number &amp; Address Decals shop, 4.7★/3.1k reviews — see Competitor Research). Print margins should be confirmed with a print test at this exact size.</t>
  </si>
  <si>
    <t xml:space="preserve">Two 202×140mm cards stack to 280mm, the maximum height inside the measured 8.5mm top/bottom margins. Sold as a pair, matching the competitor benchmark this size is based on.</t>
  </si>
  <si>
    <t xml:space="preserve">Still 1 A4 page per pack, same as baseline — the sheet math changes (2 stickers instead of 4), not the page count.</t>
  </si>
  <si>
    <t xml:space="preserve">Linked to the baseline sheet (same material for all size tiers).</t>
  </si>
  <si>
    <t xml:space="preserve">Linked to the baseline sheet (same £0.10 placeholder) — NOT yet re-tested for this size.</t>
  </si>
  <si>
    <t xml:space="preserve">PACKAGING OPTIONS (re-sized for 202x140mm -- baseline's envelopes are too small for this card)</t>
  </si>
  <si>
    <t xml:space="preserve">C4 kraft envelope + tissue (flat wrap)</t>
  </si>
  <si>
    <t xml:space="preserve">C4 (229x324mm) is used as a placeholder. At 202×140mm the card also fits a C5 (229×162mm), the smaller standard size, which would likely be cheaper — swap in a sourced C5 price. Plain white C4 self-seal runs ~£0.25-0.30/envelope in small packs (25s) on Amazon UK, cheaper in bulk — £0.22 used as a bulk-pack estimate; confirm at your actual order size. + tissue offcut, near-zero marginal cost.</t>
  </si>
  <si>
    <t xml:space="preserve">C4 kraft envelope + rigid backing card (no padding)</t>
  </si>
  <si>
    <t xml:space="preserve">Same C4 envelope as above, tissue swapped for an in-house-cut rigid cardstock backing sized to the card -- resists bending in transit for a ~£0.02 premium, same logic as the baseline's backing-card option.</t>
  </si>
  <si>
    <t xml:space="preserve">C4 padded mailer</t>
  </si>
  <si>
    <t xml:space="preserve">UK C4-size padded mailers run roughly £0.30-0.40 each in bulk packs -- placeholder, confirm against a specific UK listing before committing (not yet checked as precisely as the C4 plain envelope above).</t>
  </si>
  <si>
    <t xml:space="preserve">A4/C4 box (rigid, for premium presentation)</t>
  </si>
  <si>
    <t xml:space="preserve">Placeholder only -- rigid boxes sized for a 202x140mm card weren't priced in this pass. Treat as a rough order-of-magnitude figure (baseline's C6 box was £0.14 at a much smaller size) until a real UK listing is checked.</t>
  </si>
  <si>
    <t xml:space="preserve">Selected packaging option (pending Test 6 results)</t>
  </si>
  <si>
    <t xml:space="preserve">Placeholder default = cheapest option, matching baseline's convention. Update once you test real packaging for this size.</t>
  </si>
  <si>
    <t xml:space="preserve">Printed via the same Epson EcoTank printer/ink used for stickers — light line-art + text coverage, well under the ~£0.05/page ink assumption used for the dense sticker designs above (row 14).</t>
  </si>
  <si>
    <t xml:space="preserve">Sources show ~85-91p for the current rate — confirm the exact figure in Click &amp; Drop at checkout; £0.88 used here as a midpoint placeholder. Only available if the packed item is under 240x165x5mm and 100g — realistically only the flat-wrap and backing-card packaging options qualify (see Packaging Options above).</t>
  </si>
  <si>
    <t xml:space="preserve">Unlike the baseline 140x100mm product, this size can NEVER use the cheaper Letter-rate tier -- Royal Mail's Letter format caps out at 165mm width, and this card is 202mm wide on its own before any envelope. Large Letter is the floor for this size, regardless of packaging choice. Defaulted to the 250g band rather than 100g since an envelope + vinyl + laminate + backing card is more likely to cross 100g than the baseline's smaller envelope -- confirm on a kitchen scale once packaged.</t>
  </si>
  <si>
    <t xml:space="preserve">SHIPPING LABEL — address sticker (Click &amp; Drop)</t>
  </si>
  <si>
    <t xml:space="preserve">A4 sticker label sheet pack — price (£)</t>
  </si>
  <si>
    <t xml:space="preserve">Linked to the baseline sheet (SmithPackaging label pack).</t>
  </si>
  <si>
    <t xml:space="preserve">Assumes you batch 3 shipments' worth of labels onto one sheet before cutting (Click &amp; Drop '3+ per A4' style batching), rather than 1 label per sheet. Sheet has 21 slots total - this treats the other 18 as unused/wasted per batch, which is the conservative per-shipment cost. Increase this number if you routinely batch more orders together. Cheaper default at low volume: plain A4 paper + tape/glue stick (~1-2p/shipment), officially supported by Royal Mail.</t>
  </si>
  <si>
    <t xml:space="preserve">Bin Stickers — 280×200mm, Single (1 A4 sheet) — Cost Breakdown</t>
  </si>
  <si>
    <t xml:space="preserve">280 x 200</t>
  </si>
  <si>
    <t xml:space="preserve">New LARGE tier: 280×200mm, i.e. 200mm wide × 280mm tall on the portrait A4 sheet (resized Sep 2026 from 280×200mm). 280mm is the maximum height inside the measured 8.5mm top/bottom margins (297 − 17), and 200mm sits inside the 204mm printable width, so it prints in NORMAL (bordered) mode with no borderless printing. NOT the market's established 30x20cm 'Large' benchmark used by multiple competitors — that size is 3mm longer than A4's own 297mm page length and is physically impossible on A4 regardless of print mode. A true 30x20cm size would need an A3-capable printer later (see Equipment Guide Tier 2/3), not forced onto this A4 workflow. Print margins should be confirmed with a print test at this exact size.</t>
  </si>
  <si>
    <t xml:space="preserve">Sold as a single sticker, not a pack — this size doesn't fit 2-up on any orientation of A4, so there's no natural pack size the way the baseline's 4-pack or Medium's 2-pack have.</t>
  </si>
  <si>
    <t xml:space="preserve">1 A4 page per unit — same page count as the other two tiers, just 1 sticker on it instead of 2 or 4.</t>
  </si>
  <si>
    <t xml:space="preserve">PACKAGING OPTIONS (re-sized for 280x200mm -- baseline's envelopes are too small for this card)</t>
  </si>
  <si>
    <t xml:space="preserve">C4 (229x324mm) comfortably fits this card (280×200mm) without folding -- same envelope as the Medium placeholder, same ~£0.22/envelope bulk-pack estimate (Amazon UK, checked Sep 2026). + tissue offcut, near-zero marginal cost.</t>
  </si>
  <si>
    <t xml:space="preserve">Same C4 envelope, tissue swapped for a rigid backing card cut to size -- most worth considering for this tier specifically, since a 280mm-long sheet has the most room to flex/crease in transit of all three sizes.</t>
  </si>
  <si>
    <t xml:space="preserve">UK C4-size padded mailers run roughly £0.30-0.40 each in bulk packs -- placeholder, confirm against a specific UK listing before committing.</t>
  </si>
  <si>
    <t xml:space="preserve">Placeholder only -- rigid boxes sized for a near-full-A4 card weren't priced in this pass. Given this is your largest/most premium tier, a rigid box may be worth pricing properly before launch rather than relying on this placeholder.</t>
  </si>
  <si>
    <t xml:space="preserve">Defaulted to the backing-card option rather than plain tissue (unlike the other two tiers) — this is the longest sheet of the three (280mm), giving it the most room to flex/crease in a mailbag, so the extra ~£0.02 for rigidity seems worth it by default. Change if Test 6-equivalent results for this size say otherwise.</t>
  </si>
  <si>
    <t xml:space="preserve">Like the Medium tier, this size can NEVER use the cheaper Letter-rate tier -- both its dimensions (280x200mm) exceed the Letter format's 240x165mm limit. Large Letter is the floor for this size regardless of packaging. Defaulted to the 250g band since a C4 envelope + vinyl + laminate + backing card is more likely to cross 100g than the baseline's smaller envelope -- confirm on a kitchen scale once packaged.</t>
  </si>
  <si>
    <t xml:space="preserve">Recurring Overhead — Subscriptions &amp; Monthly Costs</t>
  </si>
  <si>
    <t xml:space="preserve">Blue = editable input. Black = calculated. Yellow = key assumption to review. Placeholder £0 values below — fill in once tools are actually chosen (design software/font licences, bookkeeping software — per chat, both are expected to be paid). Standing preference: search current UK pricing before finalising any of these, don't rely on training data.</t>
  </si>
  <si>
    <t xml:space="preserve">MONTHLY SUBSCRIPTIONS</t>
  </si>
  <si>
    <t xml:space="preserve">Cost (£/month)</t>
  </si>
  <si>
    <t xml:space="preserve">full year</t>
  </si>
  <si>
    <t xml:space="preserve">Midjourney </t>
  </si>
  <si>
    <t xml:space="preserve">Design</t>
  </si>
  <si>
    <t xml:space="preserve">Placeholder — not yet chosen (per chat, July 2026). Separate from Midjourney, already costed per-design-set in the Business Plan; add it here too if it becomes an ongoing monthly subscription.</t>
  </si>
  <si>
    <t xml:space="preserve">lovart</t>
  </si>
  <si>
    <t xml:space="preserve">Placeholder — for any paid/commercial-use fonts beyond free/open-license options.</t>
  </si>
  <si>
    <t xml:space="preserve">Bookkeeping / accounting software</t>
  </si>
  <si>
    <t xml:space="preserve">Admin</t>
  </si>
  <si>
    <t xml:space="preserve">Placeholder — decided to use paid software (per chat), specific tool not yet chosen.</t>
  </si>
  <si>
    <t xml:space="preserve">gmail account</t>
  </si>
  <si>
    <t xml:space="preserve">Entered by user (Sep 2026).</t>
  </si>
  <si>
    <t xml:space="preserve">Virtual office</t>
  </si>
  <si>
    <t xml:space="preserve">Annual cost entered in column E (blue) and divided by 12 for the monthly figure. Entered by user; monthly figure added to the subtotal Sep 2026.</t>
  </si>
  <si>
    <t xml:space="preserve">Other subscription (e.g. seller tools, cloud storage)</t>
  </si>
  <si>
    <t xml:space="preserve">Add any other recurring monthly tool here — extend this list with more rows as needed, keep them inside the SUM range below.</t>
  </si>
  <si>
    <t xml:space="preserve">MONTHLY OVERHEAD SUBTOTAL</t>
  </si>
  <si>
    <t xml:space="preserve">MONTHLY VOLUME SCENARIOS (pre-launch — no sales history yet)</t>
  </si>
  <si>
    <t xml:space="preserve">No orders yet, so these are three structured estimates rather than one guess: a comparable/benchmark figure, a target anchored to your own break-even goal, and a production-capacity ceiling — a bottom-up/top-down/proxy approach commonly recommended for pre-launch forecasting (source: Glencoyne, 'Sales Forecasting Without Historical Data', 2025). Comparable figures below from salesdoe.com's analysis of 797 Etsy shops (2025), Etsy Community Forum seller reports, and TechPenny 'When To Expect First Sale On Etsy' (2023) — accessed July 2026.</t>
  </si>
  <si>
    <t xml:space="preserve">Scenario</t>
  </si>
  <si>
    <t xml:space="preserve">Monthly Volume (stickers)</t>
  </si>
  <si>
    <t xml:space="preserve">Basis</t>
  </si>
  <si>
    <t xml:space="preserve">Notes / Source</t>
  </si>
  <si>
    <t xml:space="preserve">Conservative</t>
  </si>
  <si>
    <t xml:space="preserve">New-shop comparable benchmark</t>
  </si>
  <si>
    <t xml:space="preserve">Seller community reports commonly cite roughly 3–10 sales in a new shop's first month; a study of 797 Etsy shops found ~16 sales/month typical for a 'middling' shop after a full year. 10/month is a placeholder mid-point — edit if you have a firmer view.</t>
  </si>
  <si>
    <t xml:space="preserve">Base / Target</t>
  </si>
  <si>
    <t xml:space="preserve">Anchored to your own break-even goal</t>
  </si>
  <si>
    <t xml:space="preserve">Placeholder target. Business Plan Section 9 is under revision — break-even is being rebuilt from this workbook (see the Break-Even Calculator on the Tier 1 sheet).</t>
  </si>
  <si>
    <t xml:space="preserve">Optimistic / Capacity ceiling</t>
  </si>
  <si>
    <t xml:space="preserve">Production capacity, not demand</t>
  </si>
  <si>
    <t xml:space="preserve">What you COULD produce, not necessarily what you will sell — see the capacity calculation just below. Treat as an upper bound, not a forecast.</t>
  </si>
  <si>
    <t xml:space="preserve">Hours/week available for production (your input)</t>
  </si>
  <si>
    <t xml:space="preserve">Not yet known — set this to see your realistic capacity ceiling. Left at 0 as a placeholder.</t>
  </si>
  <si>
    <t xml:space="preserve">→ Capacity-based monthly volume (stickers)</t>
  </si>
  <si>
    <t xml:space="preserve">Hours/week × 4.33 weeks/month ÷ (45 min ÷ 60) × 20 stickers/batch, using the faster end of the 45–70 min/20-sticker batch estimate in Business Plan Section 10 (production workflow) — the manual trim/round/nick cutting steps for bin stickers haven’t been timed at real volume yet, so treat this as optimistic.</t>
  </si>
  <si>
    <t xml:space="preserve">OVERHEAD COST PER STICKER BY SCENARIO</t>
  </si>
  <si>
    <t xml:space="preserve">Overhead Cost / Sticker (£)</t>
  </si>
  <si>
    <t xml:space="preserve">ACTIVE SCENARIO (used in Bin Stickers sheet &amp; Break-Even Calculator)</t>
  </si>
  <si>
    <t xml:space="preserve">Active scenario</t>
  </si>
  <si>
    <t xml:space="preserve">Dropdown — pick Conservative, Base / Target, or Optimistic / Capacity ceiling. Defaults to Conservative: pricing against the low estimate means you stay covered even if early volume is slow; switch it once you have a few months of real data.</t>
  </si>
  <si>
    <t xml:space="preserve">→ Active monthly volume (stickers)</t>
  </si>
  <si>
    <t xml:space="preserve">→ Active overhead cost per sticker (£)</t>
  </si>
  <si>
    <t xml:space="preserve">item</t>
  </si>
  <si>
    <t xml:space="preserve">cost</t>
  </si>
  <si>
    <t xml:space="preserve">shipping</t>
  </si>
  <si>
    <t xml:space="preserve">total per item</t>
  </si>
  <si>
    <t xml:space="preserve">total</t>
  </si>
  <si>
    <t xml:space="preserve">per item</t>
  </si>
  <si>
    <t xml:space="preserve">diff</t>
  </si>
  <si>
    <t xml:space="preserve">white vinyl</t>
  </si>
  <si>
    <t xml:space="preserve">clear vinyl</t>
  </si>
  <si>
    <t xml:space="preserve">lamination</t>
  </si>
  <si>
    <t xml:space="preserve">Cricut</t>
  </si>
  <si>
    <t xml:space="preserve">EBAY MARKETING — PROMOTED LISTINGS &amp; FEE STACK (added Aug 2026)</t>
  </si>
  <si>
    <t xml:space="preserve">Ad spend is a VARIABLE cost (scales with price × volume), unlike the fixed monthly subscriptions above — deliberately kept as its own block rather than folded into the MONTHLY OVERHEAD SUBTOTAL (B11), since mixing a %-of-price cost into that flat per-sticker allocation would distort it whenever price changes. See chat for full research: ad-rate benchmarks, eBay's own suggested rates vs independent guidance, and how this stacks with Final Value Fee / per-order fee / regulatory fee. FLAG: price input below (£3.00) is a placeholder mid-point of the user-specified £2-4 'simple stickers' range (Aug 2026 chat) — this differs from the Business Plan Section 3 bin sticker range (£5-8/set) and the 'Bin Stickers 100x140 4pk' sheet (~£6/pack). Clarify whether this is a new single-sticker product tier or a per-unit breakdown of the existing set price, then reconcile across files.</t>
  </si>
  <si>
    <t xml:space="preserve">Assumed sale price per unit (£)</t>
  </si>
  <si>
    <t xml:space="preserve">£4.00 per 4-pack set by user (Sep 2026). Competitor four-pack band is £1.69-£1.99 on eBay — see Competitor-Research.md.</t>
  </si>
  <si>
    <t xml:space="preserve">Promoted Listings ad rate (% of sale price)</t>
  </si>
  <si>
    <t xml:space="preserve">User-selected 4% (Aug 2026 chat) — independent-guidance recommended ceiling for small/new sellers. eBay's own suggested rate typically runs 8-15% and is optimised for eBay's revenue, not yours; community reports of 2-30% exist depending on category/margin. General/Standard campaign (cost-per-sale) assumed, not Priority/Advanced (cost-per-click) — right choice for a single-product launch at this volume.</t>
  </si>
  <si>
    <t xml:space="preserve">eBay Final Value Fee (business seller, standard category)</t>
  </si>
  <si>
    <t xml:space="preserve">12.8% of item price + postage, most categories, checked Aug 2026. Matches the ~13% already assumed in Business Plan Section 6, just broken out precisely here.</t>
  </si>
  <si>
    <t xml:space="preserve">eBay per-order fee (£, flat)</t>
  </si>
  <si>
    <t xml:space="preserve">30p per order under £10; rises to 40p for orders ≥£10 (changed Feb 2026 — NOT yet reflected in Business Plan Section 6 or the 4pk cost sheet, worth adding there too). At a £2-4 unit price this stays at 30p unless bundling pushes a single order over £10.</t>
  </si>
  <si>
    <t xml:space="preserve">eBay Regulatory Operating Fee (% of item price + postage)</t>
  </si>
  <si>
    <t xml:space="preserve">~0.35-0.43% UK regulatory fee, introduced April 2024, applies to all UK business sellers regardless of ad usage — also not currently broken out elsewhere in the workbook. 0.4% used as a midpoint.</t>
  </si>
  <si>
    <t xml:space="preserve">→ COST PER UNIT SOLD</t>
  </si>
  <si>
    <t xml:space="preserve">Ad spend per unit (£)</t>
  </si>
  <si>
    <t xml:space="preserve">Final Value Fee per unit (£)</t>
  </si>
  <si>
    <t xml:space="preserve">Regulatory fee per unit (£)</t>
  </si>
  <si>
    <t xml:space="preserve">TOTAL EBAY PLATFORM COST PER UNIT (FVF + per-order + regulatory + ad) (£)</t>
  </si>
  <si>
    <t xml:space="preserve">Net proceeds per unit after all eBay fees (£)</t>
  </si>
  <si>
    <t xml:space="preserve">Total eBay fees as % of sale price</t>
  </si>
  <si>
    <t xml:space="preserve">→ MONTHLY, AT ACTIVE SCENARIO VOLUME (from ACTIVE SCENARIO block above)</t>
  </si>
  <si>
    <t xml:space="preserve">Active monthly volume (stickers)</t>
  </si>
  <si>
    <t xml:space="preserve">Monthly ad spend at active volume (£)</t>
  </si>
  <si>
    <t xml:space="preserve">Monthly TOTAL eBay platform fees at active volume (£)</t>
  </si>
  <si>
    <t xml:space="preserve">Fees are per-sale variable costs, deliberately NOT part of the fixed 'Recurring Overhead' sheet. They feed the Break-Even Calculator on the Tier 1 sheet.</t>
  </si>
  <si>
    <t xml:space="preserve">→ PRICE SENSITIVITY — same fee stack at other sale prices</t>
  </si>
  <si>
    <t xml:space="preserve">Sale price (£)</t>
  </si>
  <si>
    <t xml:space="preserve">Total eBay fees (£)</t>
  </si>
  <si>
    <t xml:space="preserve">Net proceeds (£)</t>
  </si>
  <si>
    <t xml:space="preserve">Fees as % of price</t>
  </si>
  <si>
    <t xml:space="preserve">Price point 1</t>
  </si>
  <si>
    <t xml:space="preserve">Price point 2</t>
  </si>
  <si>
    <t xml:space="preserve">Price point 3</t>
  </si>
  <si>
    <t xml:space="preserve">Price point 4</t>
  </si>
  <si>
    <t xml:space="preserve">Etsy — Fees &amp; Advertising (UK shop, not VAT-registered)</t>
  </si>
  <si>
    <t xml:space="preserve">Blue = editable input. Black = calculated. Companion to Etsy-Marketing-Guide.md — see that file for full context/sources. FLAG: price input below (£3.00) is a placeholder mid-point of the user-specified £2-4 'simple stickers' range — differs from Business Plan Section 3 (£5-8/set bin stickers). 'Sale price' here is treated as the TOTAL amount the buyer pays (item + any shipping charged), matching how Etsy calculates its fees.</t>
  </si>
  <si>
    <t xml:space="preserve">INPUTS</t>
  </si>
  <si>
    <t xml:space="preserve">Assumed sale price per unit, total incl. shipping (£)</t>
  </si>
  <si>
    <t xml:space="preserve">Placeholder — see flag above. Edit once price is locked.</t>
  </si>
  <si>
    <t xml:space="preserve">Listing fee per listing (£)</t>
  </si>
  <si>
    <t xml:space="preserve">~$0.20 USD converted. Charged whether or not it sells; renews every 4 months and again per sale on multi-quantity listings — this model assumes 1 listing fee per unit sold, the conservative case.</t>
  </si>
  <si>
    <t xml:space="preserve">Transaction fee rate</t>
  </si>
  <si>
    <t xml:space="preserve">6.5% of item price + shipping + gift wrap.</t>
  </si>
  <si>
    <t xml:space="preserve">Payment processing rate</t>
  </si>
  <si>
    <t xml:space="preserve">4% + fixed fee below. Etsy Payments is mandatory, no alternative processor option.</t>
  </si>
  <si>
    <t xml:space="preserve">Payment processing fixed fee (£)</t>
  </si>
  <si>
    <t xml:space="preserve">Regulatory Operating Fee rate</t>
  </si>
  <si>
    <t xml:space="preserve">0.32% of item price + shipping, UK-specific since 2022.</t>
  </si>
  <si>
    <t xml:space="preserve">VAT on Etsy fees (applies — not VAT-registered)</t>
  </si>
  <si>
    <t xml:space="preserve">20% VAT charged on ALL of Etsy's fees above when the seller isn't VAT-registered (per current business plan strategy). Set to 0% here if VAT registration status changes.</t>
  </si>
  <si>
    <t xml:space="preserve">Offsite Ads currently active? (Y/N)</t>
  </si>
  <si>
    <t xml:space="preserve">N</t>
  </si>
  <si>
    <t xml:space="preserve">Optional and should be switched OFF in Shop Manager while trailing 12-month revenue is under $10,000 USD (~£8,000) — see guide. Becomes mandatory (can't be set to N) once that threshold is crossed.</t>
  </si>
  <si>
    <t xml:space="preserve">Offsite Ads fee rate (if active)</t>
  </si>
  <si>
    <t xml:space="preserve">15% below $10k trailing revenue, 12% once mandatory at/above it.</t>
  </si>
  <si>
    <t xml:space="preserve">Etsy Ads (onsite) daily budget (£) — optional, separate CPC spend</t>
  </si>
  <si>
    <t xml:space="preserve">Minimum ~£1/day. This is a controllable CPC budget, NOT a %-of-sale fee — kept separate from the cost-per-unit maths below since it doesn't scale with units sold. Shown as a monthly figure further down.</t>
  </si>
  <si>
    <t xml:space="preserve">→ COST PER UNIT SOLD (Listing + Transaction + Payment processing + Regulatory + VAT-on-fees)</t>
  </si>
  <si>
    <t xml:space="preserve">Transaction fee (£)</t>
  </si>
  <si>
    <t xml:space="preserve">Payment processing fee (£)</t>
  </si>
  <si>
    <t xml:space="preserve">Regulatory fee (£)</t>
  </si>
  <si>
    <t xml:space="preserve">Subtotal before VAT (£)</t>
  </si>
  <si>
    <t xml:space="preserve">VAT on fees (£)</t>
  </si>
  <si>
    <t xml:space="preserve">Offsite Ads fee incl. its own VAT (£), if active</t>
  </si>
  <si>
    <t xml:space="preserve">TOTAL ETSY FEES PER UNIT (£)</t>
  </si>
  <si>
    <t xml:space="preserve">Net proceeds per unit after all Etsy fees (£)</t>
  </si>
  <si>
    <t xml:space="preserve">Total Etsy fees as % of sale price</t>
  </si>
  <si>
    <t xml:space="preserve">→ MONTHLY, AT ACTIVE SCENARIO VOLUME (from 'Recurring Overhead' sheet)</t>
  </si>
  <si>
    <t xml:space="preserve">Monthly total Etsy fees at active volume (£)</t>
  </si>
  <si>
    <t xml:space="preserve">Monthly Etsy Ads (onsite) budget, if used (£)</t>
  </si>
  <si>
    <t xml:space="preserve">Independent of units sold — a controllable CPC budget, not charged per unit.</t>
  </si>
  <si>
    <t xml:space="preserve">Not wired into the 'Recurring Overhead' sheet's fixed subscription subtotal (B11), same rationale as the eBay block there: these are %-of-price/variable costs, and mixing them into a flat £/sticker overhead figure would distort it whenever price changes. See Etsy-Marketing-Guide.md for the recommended launch approach (Offsite Ads off, small onsite Ads budget, fix listing fundamentals first).</t>
  </si>
  <si>
    <t xml:space="preserve">Amazon — Fees &amp; Advertising (UK, FBM assumed)</t>
  </si>
  <si>
    <t xml:space="preserve">Blue = editable input. Black = calculated. Companion to Amazon-Marketing-Guide.md. FLAG: same £2-4 vs £5-8 price ambiguity as the other sheets applies here — £3.00 used as a placeholder. Amazon Handmade eligibility (12.24% flat referral fee, vs standard 8-15% category fee) is NOT confirmed for laminated vinyl stickers — standard referral fee used below as the conservative default; switch the input if Handmade is confirmed eligible.</t>
  </si>
  <si>
    <t xml:space="preserve">Placeholder — see flag above.</t>
  </si>
  <si>
    <t xml:space="preserve">Referral fee rate</t>
  </si>
  <si>
    <t xml:space="preserve">8-15% typical range by category; 15% (top of range) used as the conservative default. Confirm actual category rate before launch — check Amazon Handmade (12.24% flat) eligibility too.</t>
  </si>
  <si>
    <t xml:space="preserve">Minimum referral fee (£)</t>
  </si>
  <si>
    <t xml:space="preserve">Applies regardless of price — matters at £2-4 unit prices since the percentage-based fee may fall below this floor.</t>
  </si>
  <si>
    <t xml:space="preserve">Digital Services Tax pass-through rate</t>
  </si>
  <si>
    <t xml:space="preserve">Applied on top of the referral fee for UK-established sellers.</t>
  </si>
  <si>
    <t xml:space="preserve">Using Professional account? (Y/N)</t>
  </si>
  <si>
    <t xml:space="preserve">Required for Sponsored Products (PPC) access, Buy Box eligibility, and new listing creation. Guide recommends holding off until volume/margin justify the flat monthly cost. Set to 'Y' once committed.</t>
  </si>
  <si>
    <t xml:space="preserve">Professional account monthly fee (£)</t>
  </si>
  <si>
    <t xml:space="preserve">Individual account per-item fee (£, if not Professional)</t>
  </si>
  <si>
    <t xml:space="preserve">Sponsored Products target ACoS (launch phase)</t>
  </si>
  <si>
    <t xml:space="preserve">30-40%+ is normal/accepted during a launch phase per general guidance; established-product benchmarks run 15-25%. Only relevant if Professional account + Sponsored Products are actually turned on.</t>
  </si>
  <si>
    <t xml:space="preserve">→ COST PER UNIT SOLD (selling fees only, before advertising)</t>
  </si>
  <si>
    <t xml:space="preserve">Referral fee, greater of rate or minimum (£)</t>
  </si>
  <si>
    <t xml:space="preserve">Referral fee incl. DST pass-through (£)</t>
  </si>
  <si>
    <t xml:space="preserve">Account fee per unit — Individual only (£)</t>
  </si>
  <si>
    <t xml:space="preserve">Professional's £25/mo is a flat monthly cost, not per-unit — shown separately below.</t>
  </si>
  <si>
    <t xml:space="preserve">TOTAL SELLING FEES PER UNIT (£)</t>
  </si>
  <si>
    <t xml:space="preserve">Net proceeds per unit after selling fees, before advertising (£)</t>
  </si>
  <si>
    <t xml:space="preserve">Total selling fees as % of sale price</t>
  </si>
  <si>
    <t xml:space="preserve">→ MONTHLY, AT ACTIVE SCENARIO VOLUME</t>
  </si>
  <si>
    <t xml:space="preserve">Monthly total selling fees at active volume (£)</t>
  </si>
  <si>
    <t xml:space="preserve">Monthly Professional account fee, if used (£)</t>
  </si>
  <si>
    <t xml:space="preserve">Estimated monthly Sponsored Products spend, if Professional + advertising used (£)</t>
  </si>
  <si>
    <t xml:space="preserve">Approximation: ACoS × assumed monthly revenue, treating all volume as ad-attributed — a simplification, real ad-attributed revenue will be a subset of total sales. CPC spend is NOT cost-per-sale, so this is charged whether or not those specific clicks convert.</t>
  </si>
  <si>
    <t xml:space="preserve">Not wired into the 'Recurring Overhead' sheet's fixed subscription subtotal (B11) — same rationale as the eBay and Etsy blocks: variable/%-of-price costs kept separate from the flat £/sticker overhead allocation. Guide recommends holding Professional account + Sponsored Products off until Amazon volume and margin are established via eBay/Etsy first — the Y/N toggles above default to 'off' accordingly.</t>
  </si>
  <si>
    <t xml:space="preserve">Merge notes — StickerBinStickersCosts_v4 (Sep 2026)</t>
  </si>
  <si>
    <t xml:space="preserve">Source versions reviewed</t>
  </si>
  <si>
    <t xml:space="preserve">StickerBinStickersCosts.xlsx (31 Jul) and _v2_old (2 Aug): nothing unique — fully superseded.</t>
  </si>
  <si>
    <t xml:space="preserve">_v3 (13 Sep): base of this file. Only version with the Medium and Large sheets.</t>
  </si>
  <si>
    <t xml:space="preserve">_v2 (20 Sep, newest edits): Recurring Overhead layout (gmail, virtual office), user decisions on baseline inputs.</t>
  </si>
  <si>
    <t xml:space="preserve">Decisions by user</t>
  </si>
  <si>
    <t xml:space="preserve">Vinyl £0.325, laminate £0.325, ink £0.10 (sticker and card). Address labels: SmithPackaging. Overhead list from v2. Scratch block deleted (Joy Xtra £180, lamp, bin, tools, file holder, Avery row, Cricut-vs-Stickiply cells).</t>
  </si>
  <si>
    <t xml:space="preserve">Fixes applied</t>
  </si>
  <si>
    <t xml:space="preserve">Cost per label used a hardcoded /3; now divides by labels per sheet (B55).</t>
  </si>
  <si>
    <t xml:space="preserve">Optimistic overhead scenario pointed at hours/week; now uses capacity volume.</t>
  </si>
  <si>
    <t xml:space="preserve">Virtual office (£250/yr) now in monthly overhead as £250/12; 'full year' column now x12 for Midjourney and lovart (was x6).</t>
  </si>
  <si>
    <t xml:space="preserve">Explore 5 = £330 (Ultimate Bundle) in the core subtotal; laminator = Stickiply £115; corner punch, Slice and mat moved to an On-hold group.</t>
  </si>
  <si>
    <t xml:space="preserve">Packaging: A6/C6 board-backed envelope (£0.25) added and selected. Postage default: Large Letter £1.55 until Test 6.</t>
  </si>
  <si>
    <t xml:space="preserve">eBay price £4.00; eBay, Etsy and Amazon fee sections are now live formulas; monthly volume linked to the active overhead scenario.</t>
  </si>
  <si>
    <t xml:space="preserve">Break-even calculator rebuilt: profit before overhead, packs to recover startup cost, packs per month to cover overhead.</t>
  </si>
  <si>
    <t xml:space="preserve">Medium/Large sheets: shared inputs (materials, ink, card, postage prices, labels) link to the baseline sheet; overhead link re-pointed.</t>
  </si>
  <si>
    <t xml:space="preserve">Still open</t>
  </si>
  <si>
    <t xml:space="preserve">Etsy and Amazon prices are still £3.00 placeholders.</t>
  </si>
  <si>
    <t xml:space="preserve">Medium/Large packaging still uses C4 placeholder prices; Medium (202x140) fits a C5. Not yet sourced.</t>
  </si>
  <si>
    <t xml:space="preserve">Double Dragon A6/C6 test pack works out at £0.147 per envelope vs the £0.25 sourced figure used here — reconcile.</t>
  </si>
  <si>
    <t xml:space="preserve">SmithPackaging labels are full-A4 (199.6 x 289.1mm); 1 per sheet assumed. Set B55 to 3 if you cut them apart.</t>
  </si>
  <si>
    <t xml:space="preserve">Notes in the R&amp;D block (D32, D33) describe packaging candidates and Test 6 postage but sit on the vinyl rows; there is no postage cost row for the test parcels.</t>
  </si>
  <si>
    <t xml:space="preserve">Sizes updated Sep 2026 (user-confirmed): Medium 202x140mm (was 210x140), Large 280x200mm (was 200x287). Both print in normal mode; sheets renamed to match. Costs unchanged.</t>
  </si>
</sst>
</file>

<file path=xl/styles.xml><?xml version="1.0" encoding="utf-8"?>
<styleSheet xmlns="http://schemas.openxmlformats.org/spreadsheetml/2006/main">
  <numFmts count="7">
    <numFmt numFmtId="164" formatCode="General"/>
    <numFmt numFmtId="165" formatCode="\£#,##0.00"/>
    <numFmt numFmtId="166" formatCode="#,##0"/>
    <numFmt numFmtId="167" formatCode="0"/>
    <numFmt numFmtId="168" formatCode="General"/>
    <numFmt numFmtId="169" formatCode="0.0"/>
    <numFmt numFmtId="170" formatCode="0.0%"/>
  </numFmts>
  <fonts count="38">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666666"/>
      <name val="Arial"/>
      <family val="0"/>
      <charset val="1"/>
    </font>
    <font>
      <b val="true"/>
      <sz val="11"/>
      <color rgb="FFFFFFFF"/>
      <name val="Arial"/>
      <family val="0"/>
      <charset val="1"/>
    </font>
    <font>
      <sz val="11"/>
      <color rgb="FF000000"/>
      <name val="Arial"/>
      <family val="0"/>
      <charset val="1"/>
    </font>
    <font>
      <sz val="11"/>
      <color rgb="FF0000FF"/>
      <name val="Arial"/>
      <family val="0"/>
      <charset val="1"/>
    </font>
    <font>
      <b val="true"/>
      <sz val="11"/>
      <color rgb="FF000000"/>
      <name val="Arial"/>
      <family val="0"/>
      <charset val="1"/>
    </font>
    <font>
      <b val="true"/>
      <sz val="11"/>
      <color rgb="FF1F3864"/>
      <name val="Arial"/>
      <family val="0"/>
      <charset val="1"/>
    </font>
    <font>
      <b val="true"/>
      <sz val="12"/>
      <color rgb="FFFFFFFF"/>
      <name val="Arial"/>
      <family val="0"/>
      <charset val="1"/>
    </font>
    <font>
      <sz val="10"/>
      <color rgb="FF555555"/>
      <name val="Segoe UI"/>
      <family val="2"/>
      <charset val="1"/>
    </font>
    <font>
      <u val="single"/>
      <sz val="11"/>
      <color theme="10"/>
      <name val="Calibri"/>
      <family val="2"/>
      <charset val="1"/>
    </font>
    <font>
      <b val="true"/>
      <sz val="12"/>
      <color rgb="FF1F3864"/>
      <name val="Arial"/>
      <family val="0"/>
      <charset val="1"/>
    </font>
    <font>
      <sz val="11"/>
      <color rgb="FF008000"/>
      <name val="Arial"/>
      <family val="0"/>
      <charset val="1"/>
    </font>
    <font>
      <b val="true"/>
      <sz val="13"/>
      <color rgb="FF1F3864"/>
      <name val="Calibri"/>
      <family val="0"/>
      <charset val="1"/>
    </font>
    <font>
      <sz val="11"/>
      <color rgb="FF666666"/>
      <name val="Calibri"/>
      <family val="0"/>
      <charset val="1"/>
    </font>
    <font>
      <b val="true"/>
      <sz val="11"/>
      <color rgb="FF1F3864"/>
      <name val="Calibri"/>
      <family val="0"/>
      <charset val="1"/>
    </font>
    <font>
      <b val="true"/>
      <sz val="11"/>
      <color rgb="FFFFFFFF"/>
      <name val="Calibri"/>
      <family val="0"/>
      <charset val="1"/>
    </font>
    <font>
      <sz val="11"/>
      <color rgb="FF0000FF"/>
      <name val="Calibri"/>
      <family val="0"/>
      <charset val="1"/>
    </font>
    <font>
      <b val="true"/>
      <sz val="11"/>
      <color rgb="FF000000"/>
      <name val="Calibri"/>
      <family val="0"/>
      <charset val="1"/>
    </font>
    <font>
      <sz val="11"/>
      <color rgb="FF000000"/>
      <name val="Calibri"/>
      <family val="0"/>
      <charset val="1"/>
    </font>
    <font>
      <sz val="11"/>
      <name val="Calibri"/>
      <family val="0"/>
      <charset val="1"/>
    </font>
    <font>
      <b val="true"/>
      <sz val="11"/>
      <name val="Calibri"/>
      <family val="0"/>
      <charset val="1"/>
    </font>
    <font>
      <sz val="11"/>
      <color rgb="FF008000"/>
      <name val="Calibri"/>
      <family val="0"/>
      <charset val="1"/>
    </font>
    <font>
      <i val="true"/>
      <sz val="9"/>
      <color rgb="FF666666"/>
      <name val="Calibri"/>
      <family val="0"/>
      <charset val="1"/>
    </font>
    <font>
      <sz val="13"/>
      <color rgb="FF1F1F1F"/>
      <name val="Arial"/>
      <family val="2"/>
      <charset val="1"/>
    </font>
    <font>
      <sz val="11"/>
      <color rgb="FF000000"/>
      <name val="Arial"/>
      <family val="2"/>
      <charset val="1"/>
    </font>
    <font>
      <b val="true"/>
      <sz val="11"/>
      <color rgb="FF1F3864"/>
      <name val="Cambria"/>
      <family val="0"/>
      <charset val="1"/>
    </font>
    <font>
      <i val="true"/>
      <sz val="10"/>
      <color rgb="FF666666"/>
      <name val="Cambria"/>
      <family val="0"/>
      <charset val="1"/>
    </font>
    <font>
      <b val="true"/>
      <sz val="11"/>
      <color rgb="FFFFFFFF"/>
      <name val="Cambria"/>
      <family val="0"/>
      <charset val="1"/>
    </font>
    <font>
      <sz val="11"/>
      <color rgb="FF000000"/>
      <name val="Cambria"/>
      <family val="0"/>
      <charset val="1"/>
    </font>
    <font>
      <sz val="11"/>
      <color rgb="FF0000FF"/>
      <name val="Cambria"/>
      <family val="0"/>
      <charset val="1"/>
    </font>
    <font>
      <sz val="11"/>
      <color rgb="FF008000"/>
      <name val="Cambria"/>
      <family val="0"/>
      <charset val="1"/>
    </font>
    <font>
      <b val="true"/>
      <sz val="14"/>
      <color rgb="FF1F3864"/>
      <name val="Cambria"/>
      <family val="0"/>
      <charset val="1"/>
    </font>
    <font>
      <b val="true"/>
      <sz val="11"/>
      <name val="Arial"/>
      <family val="0"/>
      <charset val="1"/>
    </font>
    <font>
      <sz val="11"/>
      <name val="Arial"/>
      <family val="0"/>
      <charset val="1"/>
    </font>
  </fonts>
  <fills count="5">
    <fill>
      <patternFill patternType="none"/>
    </fill>
    <fill>
      <patternFill patternType="gray125"/>
    </fill>
    <fill>
      <patternFill patternType="solid">
        <fgColor rgb="FF1F3864"/>
        <bgColor rgb="FF1F1F1F"/>
      </patternFill>
    </fill>
    <fill>
      <patternFill patternType="solid">
        <fgColor rgb="FFDCE6F1"/>
        <bgColor rgb="FFCC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false">
      <alignment horizontal="general" vertical="bottom" textRotation="0" wrapText="false" indent="0" shrinkToFit="false"/>
      <protection locked="true" hidden="false"/>
    </xf>
    <xf numFmtId="165" fontId="11" fillId="2"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5" fontId="9" fillId="3"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5" fontId="11"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65" fontId="20" fillId="4" borderId="0" xfId="0" applyFont="true" applyBorder="false" applyAlignment="false" applyProtection="false">
      <alignment horizontal="general" vertical="bottom" textRotation="0" wrapText="false" indent="0" shrinkToFit="false"/>
      <protection locked="true" hidden="false"/>
    </xf>
    <xf numFmtId="165" fontId="21" fillId="3"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5" fontId="19" fillId="2"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5" fontId="24" fillId="3"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65" fontId="23" fillId="3" borderId="0" xfId="0" applyFont="tru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7" fontId="25" fillId="0" borderId="0" xfId="0" applyFont="true" applyBorder="false" applyAlignment="false" applyProtection="false">
      <alignment horizontal="general" vertical="bottom" textRotation="0" wrapText="false" indent="0" shrinkToFit="false"/>
      <protection locked="true" hidden="false"/>
    </xf>
    <xf numFmtId="167" fontId="20" fillId="4"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true" applyAlignment="false" applyProtection="false">
      <alignment horizontal="general" vertical="bottom" textRotation="0" wrapText="false" indent="0" shrinkToFit="false"/>
      <protection locked="true" hidden="false"/>
    </xf>
    <xf numFmtId="168" fontId="25"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9" fontId="8" fillId="4"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8" fontId="0" fillId="4" borderId="0" xfId="0" applyFont="fals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1" fillId="2"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5" fontId="33" fillId="0" borderId="0" xfId="0" applyFont="true" applyBorder="false" applyAlignment="false" applyProtection="false">
      <alignment horizontal="general" vertical="bottom" textRotation="0" wrapText="false" indent="0" shrinkToFit="false"/>
      <protection locked="true" hidden="false"/>
    </xf>
    <xf numFmtId="170" fontId="33" fillId="0" borderId="0" xfId="0" applyFont="true" applyBorder="false" applyAlignment="false" applyProtection="false">
      <alignment horizontal="general" vertical="bottom" textRotation="0" wrapText="false" indent="0" shrinkToFit="false"/>
      <protection locked="true" hidden="false"/>
    </xf>
    <xf numFmtId="165" fontId="32" fillId="0" borderId="0" xfId="0" applyFont="true" applyBorder="false" applyAlignment="false" applyProtection="false">
      <alignment horizontal="general" vertical="bottom" textRotation="0" wrapText="false" indent="0" shrinkToFit="false"/>
      <protection locked="true" hidden="false"/>
    </xf>
    <xf numFmtId="170" fontId="32" fillId="0" borderId="0" xfId="0" applyFont="true" applyBorder="false" applyAlignment="false" applyProtection="false">
      <alignment horizontal="general" vertical="bottom" textRotation="0" wrapText="false" indent="0" shrinkToFit="false"/>
      <protection locked="true" hidden="false"/>
    </xf>
    <xf numFmtId="167"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555555"/>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amazon.co.uk/dp/B0DK3V552G?ref=ppx_yo2ov_dt_b_fed_asin_title" TargetMode="External"/><Relationship Id="rId2" Type="http://schemas.openxmlformats.org/officeDocument/2006/relationships/hyperlink" Target="https://www.amazon.co.uk/dp/B0DXY7Q984?ref=ppx_yo2ov_dt_b_fed_asin_title" TargetMode="External"/><Relationship Id="rId3" Type="http://schemas.openxmlformats.org/officeDocument/2006/relationships/hyperlink" Target="https://www.amazon.co.uk/dp/B0DJZFTP56?ref=ppx_yo2ov_dt_b_fed_asin_title" TargetMode="External"/><Relationship Id="rId4" Type="http://schemas.openxmlformats.org/officeDocument/2006/relationships/hyperlink" Target="https://www.amazon.co.uk/dp/B082WLC8BJ?ref=ppx_yo2ov_dt_b_fed_asin_title" TargetMode="External"/><Relationship Id="rId5" Type="http://schemas.openxmlformats.org/officeDocument/2006/relationships/hyperlink" Target="https://www.amazon.co.uk/dp/B0BNQW8LY3?ref=ppx_yo2ov_dt_b_fed_asin_title" TargetMode="External"/><Relationship Id="rId6" Type="http://schemas.openxmlformats.org/officeDocument/2006/relationships/hyperlink" Target="https://www.amazon.co.uk/dp/B0DFZ6585M?ref=ppx_yo2ov_dt_b_fed_asin_title" TargetMode="External"/><Relationship Id="rId7" Type="http://schemas.openxmlformats.org/officeDocument/2006/relationships/hyperlink" Target="https://www.amazon.co.uk/dp/B094454Q6P?ref=ppx_yo2ov_dt_b_fed_asin_titl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30" activePane="bottomLeft" state="frozen"/>
      <selection pane="topLeft" activeCell="A1" activeCellId="0" sqref="A1"/>
      <selection pane="bottomLeft" activeCell="G35" activeCellId="0" sqref="G35"/>
    </sheetView>
  </sheetViews>
  <sheetFormatPr defaultColWidth="8.66796875" defaultRowHeight="14.25" zeroHeight="false" outlineLevelRow="0" outlineLevelCol="0"/>
  <cols>
    <col collapsed="false" customWidth="true" hidden="false" outlineLevel="0" max="1" min="1" style="0" width="66"/>
    <col collapsed="false" customWidth="true" hidden="false" outlineLevel="0" max="3" min="2" style="0" width="14"/>
    <col collapsed="false" customWidth="true" hidden="false" outlineLevel="0" max="4" min="4" style="0" width="46"/>
  </cols>
  <sheetData>
    <row r="1" customFormat="false" ht="17.25" hidden="false" customHeight="true" outlineLevel="0" collapsed="false">
      <c r="A1" s="1" t="s">
        <v>0</v>
      </c>
    </row>
    <row r="2" customFormat="false" ht="15" hidden="false" customHeight="true" outlineLevel="0" collapsed="false">
      <c r="A2" s="2" t="s">
        <v>1</v>
      </c>
    </row>
    <row r="4" customFormat="false" ht="15" hidden="false" customHeight="true" outlineLevel="0" collapsed="false">
      <c r="A4" s="3" t="s">
        <v>2</v>
      </c>
      <c r="B4" s="3" t="s">
        <v>3</v>
      </c>
      <c r="C4" s="3" t="s">
        <v>4</v>
      </c>
      <c r="D4" s="3" t="s">
        <v>5</v>
      </c>
    </row>
    <row r="5" customFormat="false" ht="15" hidden="false" customHeight="true" outlineLevel="0" collapsed="false">
      <c r="A5" s="4" t="s">
        <v>6</v>
      </c>
      <c r="B5" s="5" t="n">
        <v>370</v>
      </c>
      <c r="C5" s="4" t="s">
        <v>7</v>
      </c>
      <c r="D5" s="6" t="s">
        <v>8</v>
      </c>
    </row>
    <row r="6" customFormat="false" ht="15" hidden="false" customHeight="true" outlineLevel="0" collapsed="false">
      <c r="A6" s="4" t="s">
        <v>9</v>
      </c>
      <c r="B6" s="5" t="n">
        <v>0</v>
      </c>
      <c r="C6" s="4" t="s">
        <v>7</v>
      </c>
      <c r="D6" s="6" t="s">
        <v>10</v>
      </c>
      <c r="E6" s="7" t="s">
        <v>11</v>
      </c>
    </row>
    <row r="7" customFormat="false" ht="15" hidden="false" customHeight="true" outlineLevel="0" collapsed="false">
      <c r="A7" s="4" t="s">
        <v>12</v>
      </c>
      <c r="B7" s="5" t="n">
        <v>0</v>
      </c>
      <c r="C7" s="4" t="s">
        <v>7</v>
      </c>
      <c r="D7" s="6" t="s">
        <v>13</v>
      </c>
      <c r="E7" s="7" t="s">
        <v>11</v>
      </c>
    </row>
    <row r="8" customFormat="false" ht="15" hidden="false" customHeight="true" outlineLevel="0" collapsed="false">
      <c r="A8" s="4" t="s">
        <v>14</v>
      </c>
      <c r="B8" s="5" t="n">
        <v>115</v>
      </c>
      <c r="C8" s="4" t="s">
        <v>7</v>
      </c>
      <c r="D8" s="6" t="s">
        <v>15</v>
      </c>
      <c r="E8" s="7" t="s">
        <v>16</v>
      </c>
    </row>
    <row r="9" customFormat="false" ht="15" hidden="false" customHeight="true" outlineLevel="0" collapsed="false">
      <c r="A9" s="4" t="s">
        <v>17</v>
      </c>
      <c r="B9" s="5" t="n">
        <v>0</v>
      </c>
      <c r="C9" s="4" t="s">
        <v>7</v>
      </c>
      <c r="D9" s="6" t="s">
        <v>18</v>
      </c>
    </row>
    <row r="10" customFormat="false" ht="15" hidden="false" customHeight="true" outlineLevel="0" collapsed="false">
      <c r="A10" s="4" t="s">
        <v>19</v>
      </c>
      <c r="B10" s="5" t="n">
        <v>38</v>
      </c>
      <c r="C10" s="4" t="s">
        <v>7</v>
      </c>
      <c r="D10" s="6" t="s">
        <v>20</v>
      </c>
    </row>
    <row r="11" customFormat="false" ht="14.25" hidden="false" customHeight="true" outlineLevel="0" collapsed="false">
      <c r="A11" s="4" t="s">
        <v>21</v>
      </c>
      <c r="B11" s="5" t="n">
        <v>330</v>
      </c>
      <c r="C11" s="4" t="s">
        <v>7</v>
      </c>
      <c r="D11" s="6" t="s">
        <v>22</v>
      </c>
    </row>
    <row r="12" customFormat="false" ht="15" hidden="false" customHeight="true" outlineLevel="0" collapsed="false">
      <c r="A12" s="8" t="s">
        <v>23</v>
      </c>
      <c r="B12" s="9" t="n">
        <f aca="false">SUM(B5:B11)</f>
        <v>853</v>
      </c>
      <c r="C12" s="10"/>
      <c r="D12" s="10"/>
    </row>
    <row r="13" customFormat="false" ht="15" hidden="false" customHeight="true" outlineLevel="0" collapsed="false"/>
    <row r="14" customFormat="false" ht="15" hidden="false" customHeight="true" outlineLevel="0" collapsed="false">
      <c r="A14" s="11" t="s">
        <v>24</v>
      </c>
    </row>
    <row r="15" customFormat="false" ht="15" hidden="false" customHeight="true" outlineLevel="0" collapsed="false">
      <c r="A15" s="4" t="s">
        <v>25</v>
      </c>
      <c r="B15" s="5" t="n">
        <v>7</v>
      </c>
      <c r="C15" s="4" t="s">
        <v>26</v>
      </c>
      <c r="D15" s="6" t="s">
        <v>27</v>
      </c>
    </row>
    <row r="16" customFormat="false" ht="15" hidden="false" customHeight="true" outlineLevel="0" collapsed="false">
      <c r="A16" s="4" t="s">
        <v>28</v>
      </c>
      <c r="B16" s="5" t="n">
        <v>5</v>
      </c>
      <c r="C16" s="4" t="s">
        <v>26</v>
      </c>
      <c r="D16" s="6" t="s">
        <v>29</v>
      </c>
    </row>
    <row r="17" customFormat="false" ht="15" hidden="false" customHeight="true" outlineLevel="0" collapsed="false">
      <c r="A17" s="4" t="s">
        <v>30</v>
      </c>
      <c r="B17" s="5" t="n">
        <v>4</v>
      </c>
      <c r="C17" s="4" t="s">
        <v>26</v>
      </c>
      <c r="D17" s="6" t="s">
        <v>31</v>
      </c>
    </row>
    <row r="18" customFormat="false" ht="15" hidden="false" customHeight="true" outlineLevel="0" collapsed="false">
      <c r="A18" s="8" t="s">
        <v>32</v>
      </c>
      <c r="B18" s="9" t="n">
        <f aca="false">SUM(B15:B17)</f>
        <v>16</v>
      </c>
      <c r="C18" s="10"/>
      <c r="D18" s="10"/>
    </row>
    <row r="19" customFormat="false" ht="14.25" hidden="false" customHeight="true" outlineLevel="0" collapsed="false"/>
    <row r="20" customFormat="false" ht="15" hidden="false" customHeight="true" outlineLevel="0" collapsed="false">
      <c r="A20" s="11" t="s">
        <v>33</v>
      </c>
    </row>
    <row r="21" customFormat="false" ht="15" hidden="false" customHeight="true" outlineLevel="0" collapsed="false">
      <c r="A21" s="3" t="s">
        <v>2</v>
      </c>
      <c r="B21" s="3" t="s">
        <v>3</v>
      </c>
      <c r="C21" s="3" t="s">
        <v>4</v>
      </c>
      <c r="D21" s="3" t="s">
        <v>5</v>
      </c>
    </row>
    <row r="22" customFormat="false" ht="14.25" hidden="false" customHeight="true" outlineLevel="0" collapsed="false">
      <c r="A22" s="4" t="s">
        <v>34</v>
      </c>
      <c r="B22" s="5" t="n">
        <v>96</v>
      </c>
      <c r="C22" s="4" t="s">
        <v>35</v>
      </c>
      <c r="D22" s="6" t="s">
        <v>36</v>
      </c>
    </row>
    <row r="23" customFormat="false" ht="15" hidden="false" customHeight="true" outlineLevel="0" collapsed="false">
      <c r="A23" s="8" t="s">
        <v>37</v>
      </c>
      <c r="B23" s="9" t="n">
        <f aca="false">SUM(B22:B22)</f>
        <v>96</v>
      </c>
      <c r="C23" s="10"/>
      <c r="D23" s="10"/>
    </row>
    <row r="24" customFormat="false" ht="15" hidden="false" customHeight="true" outlineLevel="0" collapsed="false">
      <c r="A24" s="12" t="s">
        <v>38</v>
      </c>
      <c r="B24" s="13" t="n">
        <f aca="false">B12+B22</f>
        <v>949</v>
      </c>
      <c r="C24" s="14"/>
      <c r="D24" s="14"/>
    </row>
    <row r="26" customFormat="false" ht="14.25" hidden="false" customHeight="true" outlineLevel="0" collapsed="false">
      <c r="A26" s="2" t="s">
        <v>39</v>
      </c>
    </row>
    <row r="27" customFormat="false" ht="14.25" hidden="false" customHeight="true" outlineLevel="0" collapsed="false"/>
    <row r="29" customFormat="false" ht="14.25" hidden="false" customHeight="true" outlineLevel="0" collapsed="false">
      <c r="A29" s="11" t="s">
        <v>40</v>
      </c>
    </row>
    <row r="30" customFormat="false" ht="14.25" hidden="false" customHeight="true" outlineLevel="0" collapsed="false">
      <c r="A30" s="15" t="s">
        <v>2</v>
      </c>
      <c r="B30" s="15" t="s">
        <v>3</v>
      </c>
      <c r="C30" s="15" t="s">
        <v>4</v>
      </c>
      <c r="D30" s="15" t="s">
        <v>5</v>
      </c>
      <c r="E30" s="15" t="s">
        <v>41</v>
      </c>
    </row>
    <row r="31" customFormat="false" ht="15" hidden="false" customHeight="true" outlineLevel="0" collapsed="false">
      <c r="A31" s="16" t="s">
        <v>42</v>
      </c>
      <c r="B31" s="17" t="n">
        <v>13</v>
      </c>
      <c r="C31" s="18"/>
      <c r="D31" s="2"/>
      <c r="E31" s="0" t="n">
        <v>25</v>
      </c>
      <c r="F31" s="7" t="n">
        <f aca="false">B31/E31</f>
        <v>0.52</v>
      </c>
      <c r="G31" s="7" t="s">
        <v>43</v>
      </c>
    </row>
    <row r="32" customFormat="false" ht="15" hidden="false" customHeight="true" outlineLevel="0" collapsed="false">
      <c r="A32" s="16" t="s">
        <v>44</v>
      </c>
      <c r="B32" s="17" t="n">
        <v>8</v>
      </c>
      <c r="C32" s="18" t="s">
        <v>45</v>
      </c>
      <c r="D32" s="2" t="s">
        <v>46</v>
      </c>
      <c r="E32" s="0" t="n">
        <v>10</v>
      </c>
      <c r="F32" s="7" t="n">
        <f aca="false">B32/E32</f>
        <v>0.8</v>
      </c>
      <c r="G32" s="7" t="s">
        <v>43</v>
      </c>
    </row>
    <row r="33" customFormat="false" ht="15" hidden="false" customHeight="true" outlineLevel="0" collapsed="false">
      <c r="A33" s="16" t="s">
        <v>47</v>
      </c>
      <c r="B33" s="17" t="n">
        <v>5.85</v>
      </c>
      <c r="C33" s="18" t="s">
        <v>45</v>
      </c>
      <c r="D33" s="2" t="s">
        <v>48</v>
      </c>
      <c r="E33" s="0" t="n">
        <v>10</v>
      </c>
      <c r="F33" s="7" t="n">
        <f aca="false">B33/E33</f>
        <v>0.585</v>
      </c>
      <c r="G33" s="7" t="s">
        <v>43</v>
      </c>
    </row>
    <row r="34" customFormat="false" ht="14.25" hidden="false" customHeight="true" outlineLevel="0" collapsed="false">
      <c r="A34" s="19" t="s">
        <v>49</v>
      </c>
      <c r="B34" s="17" t="n">
        <v>6</v>
      </c>
      <c r="C34" s="18"/>
      <c r="D34" s="2"/>
      <c r="E34" s="0" t="n">
        <v>25</v>
      </c>
      <c r="F34" s="7" t="n">
        <f aca="false">B34/E34</f>
        <v>0.24</v>
      </c>
      <c r="G34" s="7" t="s">
        <v>50</v>
      </c>
    </row>
    <row r="35" customFormat="false" ht="14.25" hidden="false" customHeight="true" outlineLevel="0" collapsed="false">
      <c r="A35" s="19" t="s">
        <v>51</v>
      </c>
      <c r="B35" s="17" t="n">
        <v>7.37</v>
      </c>
      <c r="C35" s="18"/>
      <c r="D35" s="2"/>
      <c r="E35" s="0" t="n">
        <v>50</v>
      </c>
      <c r="F35" s="7" t="n">
        <f aca="false">B35/E35</f>
        <v>0.1474</v>
      </c>
      <c r="G35" s="7" t="s">
        <v>50</v>
      </c>
    </row>
    <row r="36" customFormat="false" ht="14.25" hidden="false" customHeight="true" outlineLevel="0" collapsed="false">
      <c r="A36" s="19" t="s">
        <v>52</v>
      </c>
      <c r="B36" s="17" t="n">
        <v>6</v>
      </c>
      <c r="C36" s="18"/>
      <c r="D36" s="2"/>
      <c r="E36" s="0" t="n">
        <v>25</v>
      </c>
      <c r="F36" s="7" t="n">
        <f aca="false">B36/E36</f>
        <v>0.24</v>
      </c>
      <c r="G36" s="7" t="s">
        <v>50</v>
      </c>
    </row>
    <row r="37" customFormat="false" ht="14.25" hidden="false" customHeight="true" outlineLevel="0" collapsed="false">
      <c r="A37" s="19" t="s">
        <v>53</v>
      </c>
      <c r="B37" s="17" t="n">
        <v>9</v>
      </c>
      <c r="C37" s="18"/>
      <c r="D37" s="2"/>
      <c r="E37" s="0" t="n">
        <v>100</v>
      </c>
      <c r="F37" s="7" t="n">
        <f aca="false">B37/E37</f>
        <v>0.09</v>
      </c>
      <c r="G37" s="7" t="s">
        <v>50</v>
      </c>
    </row>
    <row r="38" customFormat="false" ht="14.25" hidden="false" customHeight="true" outlineLevel="0" collapsed="false">
      <c r="A38" s="19" t="s">
        <v>54</v>
      </c>
      <c r="B38" s="17" t="n">
        <v>5</v>
      </c>
      <c r="C38" s="18"/>
      <c r="D38" s="2"/>
      <c r="E38" s="0" t="n">
        <v>40</v>
      </c>
      <c r="F38" s="7" t="n">
        <f aca="false">B38/E38</f>
        <v>0.125</v>
      </c>
      <c r="G38" s="7" t="s">
        <v>50</v>
      </c>
    </row>
    <row r="39" customFormat="false" ht="14.25" hidden="false" customHeight="true" outlineLevel="0" collapsed="false">
      <c r="A39" s="19" t="s">
        <v>55</v>
      </c>
      <c r="B39" s="17" t="n">
        <v>6.09</v>
      </c>
      <c r="C39" s="18"/>
      <c r="D39" s="2"/>
      <c r="E39" s="0" t="n">
        <v>10</v>
      </c>
      <c r="F39" s="7" t="n">
        <f aca="false">B39/E39</f>
        <v>0.609</v>
      </c>
      <c r="G39" s="7" t="s">
        <v>50</v>
      </c>
    </row>
    <row r="40" customFormat="false" ht="14.25" hidden="false" customHeight="true" outlineLevel="0" collapsed="false">
      <c r="A40" s="19" t="s">
        <v>56</v>
      </c>
      <c r="B40" s="17" t="n">
        <v>10</v>
      </c>
      <c r="C40" s="18"/>
      <c r="D40" s="2"/>
      <c r="E40" s="0" t="n">
        <v>50</v>
      </c>
      <c r="F40" s="7" t="n">
        <f aca="false">B40/E40</f>
        <v>0.2</v>
      </c>
      <c r="G40" s="7" t="s">
        <v>50</v>
      </c>
    </row>
    <row r="41" customFormat="false" ht="14.25" hidden="false" customHeight="true" outlineLevel="0" collapsed="false">
      <c r="A41" s="0" t="s">
        <v>57</v>
      </c>
      <c r="B41" s="17" t="n">
        <v>13</v>
      </c>
      <c r="C41" s="18"/>
      <c r="D41" s="2"/>
      <c r="E41" s="0" t="n">
        <v>20</v>
      </c>
      <c r="F41" s="7" t="n">
        <f aca="false">(B41+I41)/E41</f>
        <v>0.85</v>
      </c>
      <c r="G41" s="7" t="s">
        <v>58</v>
      </c>
      <c r="H41" s="7" t="s">
        <v>59</v>
      </c>
      <c r="I41" s="0" t="n">
        <v>4</v>
      </c>
    </row>
    <row r="42" customFormat="false" ht="14.25" hidden="false" customHeight="true" outlineLevel="0" collapsed="false">
      <c r="A42" s="0" t="s">
        <v>60</v>
      </c>
      <c r="B42" s="17" t="n">
        <v>13</v>
      </c>
      <c r="C42" s="18"/>
      <c r="D42" s="2"/>
      <c r="E42" s="0" t="n">
        <v>20</v>
      </c>
      <c r="F42" s="7" t="n">
        <f aca="false">(B42+I42)/E42</f>
        <v>0.85</v>
      </c>
      <c r="G42" s="7" t="s">
        <v>58</v>
      </c>
      <c r="H42" s="7" t="s">
        <v>59</v>
      </c>
      <c r="I42" s="0" t="n">
        <v>4</v>
      </c>
    </row>
    <row r="43" customFormat="false" ht="14.25" hidden="false" customHeight="true" outlineLevel="0" collapsed="false">
      <c r="A43" s="20" t="s">
        <v>61</v>
      </c>
      <c r="B43" s="21" t="n">
        <f aca="false">SUM(B31:B42)</f>
        <v>102.31</v>
      </c>
    </row>
    <row r="45" customFormat="false" ht="15" hidden="false" customHeight="true" outlineLevel="0" collapsed="false">
      <c r="A45" s="22" t="s">
        <v>62</v>
      </c>
      <c r="B45" s="23" t="n">
        <f aca="false">B12+B43</f>
        <v>955.31</v>
      </c>
    </row>
    <row r="46" customFormat="false" ht="14.25" hidden="false" customHeight="true" outlineLevel="0" collapsed="false">
      <c r="A46" s="24" t="s">
        <v>63</v>
      </c>
      <c r="B46" s="24"/>
      <c r="C46" s="24"/>
      <c r="D46" s="24"/>
    </row>
    <row r="48" customFormat="false" ht="15" hidden="false" customHeight="true" outlineLevel="0" collapsed="false">
      <c r="A48" s="25" t="s">
        <v>64</v>
      </c>
    </row>
    <row r="49" customFormat="false" ht="14.25" hidden="false" customHeight="true" outlineLevel="0" collapsed="false">
      <c r="A49" s="24" t="s">
        <v>65</v>
      </c>
      <c r="B49" s="24"/>
      <c r="C49" s="24"/>
      <c r="D49" s="24"/>
    </row>
    <row r="51" customFormat="false" ht="14.25" hidden="false" customHeight="true" outlineLevel="0" collapsed="false">
      <c r="A51" s="18" t="s">
        <v>66</v>
      </c>
      <c r="B51" s="26" t="n">
        <f aca="false">'Ebay costs'!B5</f>
        <v>4</v>
      </c>
      <c r="D51" s="2" t="s">
        <v>67</v>
      </c>
    </row>
    <row r="52" customFormat="false" ht="14.25" hidden="false" customHeight="true" outlineLevel="0" collapsed="false">
      <c r="A52" s="18" t="s">
        <v>68</v>
      </c>
      <c r="B52" s="26" t="n">
        <f aca="false">'Ebay costs'!B15</f>
        <v>0.988</v>
      </c>
      <c r="D52" s="2" t="s">
        <v>69</v>
      </c>
    </row>
    <row r="53" customFormat="false" ht="14.25" hidden="false" customHeight="true" outlineLevel="0" collapsed="false">
      <c r="A53" s="18" t="s">
        <v>70</v>
      </c>
      <c r="B53" s="26" t="n">
        <f aca="false">'Bin Stickers 100x140 4pk'!B58</f>
        <v>2.21</v>
      </c>
      <c r="D53" s="2" t="s">
        <v>71</v>
      </c>
    </row>
    <row r="54" customFormat="false" ht="14.25" hidden="false" customHeight="false" outlineLevel="0" collapsed="false">
      <c r="A54" s="27" t="s">
        <v>72</v>
      </c>
      <c r="B54" s="28" t="n">
        <f aca="false">B51-B52-B53</f>
        <v>0.802</v>
      </c>
    </row>
    <row r="55" customFormat="false" ht="14.25" hidden="false" customHeight="true" outlineLevel="0" collapsed="false"/>
    <row r="56" customFormat="false" ht="14.25" hidden="false" customHeight="true" outlineLevel="0" collapsed="false">
      <c r="A56" s="18" t="s">
        <v>73</v>
      </c>
      <c r="B56" s="29" t="n">
        <f aca="false">B45</f>
        <v>955.31</v>
      </c>
    </row>
    <row r="57" customFormat="false" ht="14.25" hidden="false" customHeight="true" outlineLevel="0" collapsed="false">
      <c r="A57" s="20" t="s">
        <v>74</v>
      </c>
      <c r="B57" s="30" t="n">
        <f aca="false">IF(B54&gt;0,B56/B54,"N/A")</f>
        <v>1191.15960099751</v>
      </c>
    </row>
    <row r="58" customFormat="false" ht="14.25" hidden="false" customHeight="false" outlineLevel="0" collapsed="false">
      <c r="A58" s="20" t="s">
        <v>75</v>
      </c>
      <c r="B58" s="30" t="n">
        <f aca="false">IF(ISNUMBER(B57),B57*'Bin Stickers 100x140 4pk'!B7,"N/A")</f>
        <v>4764.63840399002</v>
      </c>
    </row>
    <row r="59" customFormat="false" ht="14.25" hidden="false" customHeight="true" outlineLevel="0" collapsed="false"/>
    <row r="60" customFormat="false" ht="14.25" hidden="false" customHeight="false" outlineLevel="0" collapsed="false">
      <c r="A60" s="18" t="s">
        <v>76</v>
      </c>
      <c r="B60" s="26" t="n">
        <f aca="false">'Recurring Overhead'!B12</f>
        <v>83.2233333333333</v>
      </c>
      <c r="D60" s="2" t="s">
        <v>77</v>
      </c>
    </row>
    <row r="61" customFormat="false" ht="14.25" hidden="false" customHeight="false" outlineLevel="0" collapsed="false">
      <c r="A61" s="20" t="s">
        <v>78</v>
      </c>
      <c r="B61" s="30" t="n">
        <f aca="false">IF(B54&gt;0,B60/B54,"N/A")</f>
        <v>103.769742310889</v>
      </c>
    </row>
    <row r="62" customFormat="false" ht="14.25" hidden="false" customHeight="false" outlineLevel="0" collapsed="false">
      <c r="A62" s="20" t="s">
        <v>79</v>
      </c>
      <c r="B62" s="30" t="n">
        <f aca="false">IF(ISNUMBER(B61),B61*'Bin Stickers 100x140 4pk'!B7,"N/A")</f>
        <v>415.078969243558</v>
      </c>
    </row>
    <row r="63" customFormat="false" ht="14.25" hidden="false" customHeight="false" outlineLevel="0" collapsed="false">
      <c r="A63" s="18" t="s">
        <v>80</v>
      </c>
      <c r="B63" s="31" t="n">
        <f aca="false">'Recurring Overhead'!B33</f>
        <v>10</v>
      </c>
      <c r="D63" s="2" t="s">
        <v>81</v>
      </c>
    </row>
    <row r="64" customFormat="false" ht="14.25" hidden="false" customHeight="false" outlineLevel="0" collapsed="false">
      <c r="A64" s="27" t="s">
        <v>82</v>
      </c>
      <c r="B64" s="28" t="n">
        <f aca="false">(B63/'Bin Stickers 100x140 4pk'!B7)*B54-B60</f>
        <v>-81.2183333333333</v>
      </c>
    </row>
    <row r="66" customFormat="false" ht="14.25" hidden="false" customHeight="false" outlineLevel="0" collapsed="false">
      <c r="A66" s="24" t="s">
        <v>83</v>
      </c>
      <c r="B66" s="24"/>
      <c r="C66" s="24"/>
      <c r="D66" s="24"/>
    </row>
  </sheetData>
  <mergeCells count="3">
    <mergeCell ref="A46:D46"/>
    <mergeCell ref="A49:D49"/>
    <mergeCell ref="A66:D66"/>
  </mergeCells>
  <hyperlinks>
    <hyperlink ref="A34" r:id="rId1" display="Brown Kraft Card, A4 Card 250GSM Thick Kraft Card Stock for Cards Making, Scrapbook, Office Printing and Arts or Crafts DIY (25 Sheets)"/>
    <hyperlink ref="A35" r:id="rId2" display="Double Dragon 50-Pack A6 C6 Manilla Hard Board Backed Envelopes | 162mm x 114mm | 'Please Do Not Bend' Printed | Padded &amp; Tamper-Proof | Self-Seal Closure"/>
    <hyperlink ref="A36" r:id="rId3" display="White Card, A4 Card 250GSM Thick Card Stock for Cards Making, Scrapbook, Office Printing and Arts or Crafts DIY (25 Sheets)"/>
    <hyperlink ref="A37" r:id="rId4" display="SmithPackaging A4 Self Adhesive Address Labels, 1 Label Per Sheet, 100 Sheets, 199.6 x 289.1mm, 100 Labels"/>
    <hyperlink ref="A38" r:id="rId5" display="40 Sheets of Acid Free Tissue Paper Cool White MG 17gsm Clothing Storage Gift Wrapping Decorative Sketch and Cutting Large Tissue Paper for Art Craft and Packing - 500mm x 750mm"/>
    <hyperlink ref="A39" r:id="rId6" display="Triplast White Bubble Padded Envelopes - Pick Qty &amp; Size: 10 x 1/A (100x165mm) A6 Envelopes - Large Letter Postal Bags with Bubble Wrap Lining and Peel &amp; Seal Strip for Royal Mail Shipping &amp; Postage"/>
    <hyperlink ref="A40" r:id="rId7" display="AKAR White A6/C6 Large Letter Postal Box - 112x163x20 mm - Letterbox Pip Royal Mail Small Boxes for Posting [Pack of 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61" activeCellId="0" sqref="C61"/>
    </sheetView>
  </sheetViews>
  <sheetFormatPr defaultColWidth="8.66796875" defaultRowHeight="14.2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55"/>
  </cols>
  <sheetData>
    <row r="1" customFormat="false" ht="17.25" hidden="false" customHeight="true" outlineLevel="0" collapsed="false">
      <c r="A1" s="32" t="s">
        <v>84</v>
      </c>
    </row>
    <row r="2" customFormat="false" ht="14.25" hidden="false" customHeight="true" outlineLevel="0" collapsed="false">
      <c r="A2" s="33" t="s">
        <v>85</v>
      </c>
    </row>
    <row r="4" customFormat="false" ht="14.25" hidden="false" customHeight="true" outlineLevel="0" collapsed="false">
      <c r="A4" s="34" t="s">
        <v>86</v>
      </c>
    </row>
    <row r="5" customFormat="false" ht="14.25" hidden="false" customHeight="true" outlineLevel="0" collapsed="false">
      <c r="A5" s="35" t="s">
        <v>2</v>
      </c>
      <c r="B5" s="35" t="s">
        <v>87</v>
      </c>
      <c r="C5" s="35" t="s">
        <v>5</v>
      </c>
    </row>
    <row r="6" customFormat="false" ht="14.25" hidden="false" customHeight="true" outlineLevel="0" collapsed="false">
      <c r="A6" s="0" t="s">
        <v>88</v>
      </c>
      <c r="B6" s="36" t="s">
        <v>89</v>
      </c>
      <c r="C6" s="33" t="s">
        <v>90</v>
      </c>
    </row>
    <row r="7" customFormat="false" ht="14.25" hidden="false" customHeight="true" outlineLevel="0" collapsed="false">
      <c r="A7" s="0" t="s">
        <v>91</v>
      </c>
      <c r="B7" s="36" t="n">
        <v>4</v>
      </c>
      <c r="C7" s="33" t="s">
        <v>92</v>
      </c>
    </row>
    <row r="8" customFormat="false" ht="14.25" hidden="false" customHeight="true" outlineLevel="0" collapsed="false">
      <c r="A8" s="0" t="s">
        <v>93</v>
      </c>
      <c r="B8" s="36" t="n">
        <v>1</v>
      </c>
      <c r="C8" s="33" t="s">
        <v>94</v>
      </c>
    </row>
    <row r="10" customFormat="false" ht="14.25" hidden="false" customHeight="true" outlineLevel="0" collapsed="false">
      <c r="A10" s="34" t="s">
        <v>95</v>
      </c>
    </row>
    <row r="11" customFormat="false" ht="14.25" hidden="false" customHeight="true" outlineLevel="0" collapsed="false">
      <c r="A11" s="35" t="s">
        <v>2</v>
      </c>
      <c r="B11" s="35" t="s">
        <v>96</v>
      </c>
      <c r="C11" s="35" t="s">
        <v>5</v>
      </c>
    </row>
    <row r="12" customFormat="false" ht="14.25" hidden="false" customHeight="true" outlineLevel="0" collapsed="false">
      <c r="A12" s="0" t="s">
        <v>97</v>
      </c>
      <c r="B12" s="37" t="n">
        <v>0.35</v>
      </c>
      <c r="C12" s="33" t="s">
        <v>98</v>
      </c>
    </row>
    <row r="13" customFormat="false" ht="14.25" hidden="false" customHeight="true" outlineLevel="0" collapsed="false">
      <c r="A13" s="0" t="s">
        <v>99</v>
      </c>
      <c r="B13" s="37" t="n">
        <v>0.35</v>
      </c>
      <c r="C13" s="33" t="s">
        <v>100</v>
      </c>
    </row>
    <row r="14" customFormat="false" ht="14.25" hidden="false" customHeight="true" outlineLevel="0" collapsed="false">
      <c r="A14" s="0" t="s">
        <v>101</v>
      </c>
      <c r="B14" s="37" t="n">
        <v>0.1</v>
      </c>
      <c r="C14" s="33" t="s">
        <v>102</v>
      </c>
    </row>
    <row r="15" customFormat="false" ht="14.25" hidden="false" customHeight="true" outlineLevel="0" collapsed="false">
      <c r="A15" s="0" t="s">
        <v>103</v>
      </c>
      <c r="B15" s="38" t="n">
        <f aca="false">SUM(B12:B14)</f>
        <v>0.8</v>
      </c>
    </row>
    <row r="17" customFormat="false" ht="14.25" hidden="false" customHeight="true" outlineLevel="0" collapsed="false">
      <c r="A17" s="0" t="s">
        <v>104</v>
      </c>
      <c r="B17" s="39" t="n">
        <f aca="false">B8</f>
        <v>1</v>
      </c>
    </row>
    <row r="18" customFormat="false" ht="14.25" hidden="false" customHeight="true" outlineLevel="0" collapsed="false">
      <c r="A18" s="0" t="s">
        <v>105</v>
      </c>
      <c r="B18" s="38" t="n">
        <f aca="false">B15*B17</f>
        <v>0.8</v>
      </c>
    </row>
    <row r="20" customFormat="false" ht="14.25" hidden="false" customHeight="true" outlineLevel="0" collapsed="false">
      <c r="A20" s="34" t="s">
        <v>106</v>
      </c>
      <c r="B20" s="40"/>
      <c r="C20" s="40"/>
    </row>
    <row r="21" customFormat="false" ht="14.25" hidden="false" customHeight="true" outlineLevel="0" collapsed="false">
      <c r="A21" s="35" t="s">
        <v>107</v>
      </c>
      <c r="B21" s="41" t="s">
        <v>108</v>
      </c>
      <c r="C21" s="35" t="s">
        <v>5</v>
      </c>
    </row>
    <row r="22" customFormat="false" ht="54.75" hidden="false" customHeight="true" outlineLevel="0" collapsed="false">
      <c r="A22" s="40" t="s">
        <v>109</v>
      </c>
      <c r="B22" s="37" t="n">
        <v>0.08</v>
      </c>
      <c r="C22" s="42" t="s">
        <v>110</v>
      </c>
    </row>
    <row r="23" customFormat="false" ht="41.25" hidden="false" customHeight="true" outlineLevel="0" collapsed="false">
      <c r="A23" s="40" t="s">
        <v>111</v>
      </c>
      <c r="B23" s="37" t="n">
        <v>0.09</v>
      </c>
      <c r="C23" s="42" t="s">
        <v>112</v>
      </c>
    </row>
    <row r="24" customFormat="false" ht="54.75" hidden="false" customHeight="true" outlineLevel="0" collapsed="false">
      <c r="A24" s="40" t="s">
        <v>113</v>
      </c>
      <c r="B24" s="37" t="n">
        <v>0.15</v>
      </c>
      <c r="C24" s="42" t="s">
        <v>114</v>
      </c>
    </row>
    <row r="25" customFormat="false" ht="14.25" hidden="false" customHeight="true" outlineLevel="0" collapsed="false">
      <c r="A25" s="40" t="s">
        <v>115</v>
      </c>
      <c r="B25" s="37" t="n">
        <v>0.14</v>
      </c>
      <c r="C25" s="42" t="s">
        <v>116</v>
      </c>
    </row>
    <row r="26" customFormat="false" ht="54.75" hidden="false" customHeight="true" outlineLevel="0" collapsed="false">
      <c r="A26" s="40" t="s">
        <v>117</v>
      </c>
      <c r="B26" s="37" t="n">
        <v>0.25</v>
      </c>
      <c r="C26" s="42" t="s">
        <v>118</v>
      </c>
    </row>
    <row r="27" customFormat="false" ht="14.25" hidden="false" customHeight="true" outlineLevel="0" collapsed="false">
      <c r="A27" s="40" t="s">
        <v>119</v>
      </c>
      <c r="B27" s="37" t="s">
        <v>117</v>
      </c>
      <c r="C27" s="42" t="s">
        <v>120</v>
      </c>
    </row>
    <row r="28" customFormat="false" ht="14.25" hidden="false" customHeight="true" outlineLevel="0" collapsed="false">
      <c r="A28" s="43" t="s">
        <v>121</v>
      </c>
      <c r="B28" s="44" t="n">
        <f aca="false">INDEX(B22:B26,MATCH(B27,A22:A26,0))</f>
        <v>0.25</v>
      </c>
      <c r="C28" s="40"/>
    </row>
    <row r="29" customFormat="false" ht="14.25" hidden="false" customHeight="true" outlineLevel="0" collapsed="false">
      <c r="A29" s="40"/>
      <c r="B29" s="45"/>
      <c r="C29" s="40"/>
    </row>
    <row r="30" customFormat="false" ht="14.25" hidden="false" customHeight="true" outlineLevel="0" collapsed="false">
      <c r="A30" s="43" t="s">
        <v>122</v>
      </c>
      <c r="B30" s="44" t="n">
        <f aca="false">B18+B28</f>
        <v>1.05</v>
      </c>
      <c r="C30" s="40"/>
    </row>
    <row r="31" customFormat="false" ht="14.25" hidden="false" customHeight="true" outlineLevel="0" collapsed="false">
      <c r="A31" s="40" t="s">
        <v>123</v>
      </c>
      <c r="B31" s="46" t="n">
        <f aca="false">B30/B7</f>
        <v>0.2625</v>
      </c>
      <c r="C31" s="40"/>
    </row>
    <row r="32" customFormat="false" ht="14.25" hidden="false" customHeight="true" outlineLevel="0" collapsed="false">
      <c r="A32" s="0" t="s">
        <v>124</v>
      </c>
    </row>
    <row r="33" customFormat="false" ht="14.25" hidden="false" customHeight="true" outlineLevel="0" collapsed="false">
      <c r="A33" s="0" t="s">
        <v>2</v>
      </c>
      <c r="B33" s="0" t="s">
        <v>96</v>
      </c>
      <c r="C33" s="0" t="s">
        <v>5</v>
      </c>
    </row>
    <row r="34" customFormat="false" ht="54.75" hidden="false" customHeight="true" outlineLevel="0" collapsed="false">
      <c r="A34" s="0" t="s">
        <v>125</v>
      </c>
      <c r="B34" s="0" t="n">
        <v>0.06</v>
      </c>
      <c r="C34" s="0" t="s">
        <v>126</v>
      </c>
    </row>
    <row r="35" customFormat="false" ht="27.75" hidden="false" customHeight="true" outlineLevel="0" collapsed="false">
      <c r="A35" s="0" t="s">
        <v>127</v>
      </c>
      <c r="B35" s="0" t="n">
        <v>0.1</v>
      </c>
      <c r="C35" s="0" t="s">
        <v>128</v>
      </c>
    </row>
    <row r="36" customFormat="false" ht="27.75" hidden="false" customHeight="true" outlineLevel="0" collapsed="false">
      <c r="A36" s="0" t="s">
        <v>129</v>
      </c>
      <c r="B36" s="0" t="n">
        <f aca="false">SUM(B34:B35)</f>
        <v>0.16</v>
      </c>
    </row>
    <row r="37" customFormat="false" ht="27.75" hidden="false" customHeight="true" outlineLevel="0" collapsed="false">
      <c r="A37" s="43" t="s">
        <v>130</v>
      </c>
      <c r="B37" s="44" t="n">
        <f aca="false">B36+B30</f>
        <v>1.21</v>
      </c>
      <c r="C37" s="40"/>
    </row>
    <row r="38" customFormat="false" ht="28.5" hidden="false" customHeight="true" outlineLevel="0" collapsed="false">
      <c r="A38" s="34" t="s">
        <v>131</v>
      </c>
      <c r="B38" s="40"/>
      <c r="C38" s="40"/>
    </row>
    <row r="39" customFormat="false" ht="27.75" hidden="false" customHeight="true" outlineLevel="0" collapsed="false">
      <c r="A39" s="35" t="s">
        <v>132</v>
      </c>
      <c r="B39" s="41" t="s">
        <v>133</v>
      </c>
      <c r="C39" s="35" t="s">
        <v>5</v>
      </c>
    </row>
    <row r="40" customFormat="false" ht="14.25" hidden="false" customHeight="true" outlineLevel="0" collapsed="false">
      <c r="A40" s="40" t="s">
        <v>134</v>
      </c>
      <c r="B40" s="37" t="n">
        <v>0.91</v>
      </c>
      <c r="C40" s="42" t="s">
        <v>135</v>
      </c>
    </row>
    <row r="41" customFormat="false" ht="14.25" hidden="false" customHeight="true" outlineLevel="0" collapsed="false">
      <c r="A41" s="40" t="s">
        <v>136</v>
      </c>
      <c r="B41" s="37" t="n">
        <v>1.55</v>
      </c>
      <c r="C41" s="42" t="s">
        <v>137</v>
      </c>
    </row>
    <row r="42" customFormat="false" ht="14.25" hidden="false" customHeight="true" outlineLevel="0" collapsed="false">
      <c r="A42" s="40" t="s">
        <v>138</v>
      </c>
      <c r="B42" s="37" t="n">
        <v>1.9</v>
      </c>
      <c r="C42" s="42" t="s">
        <v>139</v>
      </c>
    </row>
    <row r="43" customFormat="false" ht="14.25" hidden="false" customHeight="true" outlineLevel="0" collapsed="false">
      <c r="A43" s="40" t="s">
        <v>140</v>
      </c>
      <c r="B43" s="37" t="n">
        <v>2.75</v>
      </c>
      <c r="C43" s="42" t="s">
        <v>141</v>
      </c>
    </row>
    <row r="44" customFormat="false" ht="54.75" hidden="false" customHeight="true" outlineLevel="0" collapsed="false">
      <c r="A44" s="40" t="s">
        <v>142</v>
      </c>
      <c r="B44" s="37" t="n">
        <v>3.65</v>
      </c>
      <c r="C44" s="42" t="s">
        <v>143</v>
      </c>
    </row>
    <row r="45" customFormat="false" ht="45" hidden="false" customHeight="true" outlineLevel="0" collapsed="false">
      <c r="A45" s="40" t="s">
        <v>144</v>
      </c>
      <c r="B45" s="37" t="n">
        <v>8.75</v>
      </c>
      <c r="C45" s="42" t="s">
        <v>145</v>
      </c>
    </row>
    <row r="46" customFormat="false" ht="14.25" hidden="false" customHeight="true" outlineLevel="0" collapsed="false">
      <c r="A46" s="40"/>
      <c r="B46" s="40"/>
      <c r="C46" s="40"/>
    </row>
    <row r="47" customFormat="false" ht="81.75" hidden="false" customHeight="true" outlineLevel="0" collapsed="false">
      <c r="A47" s="40" t="s">
        <v>146</v>
      </c>
      <c r="B47" s="37" t="s">
        <v>134</v>
      </c>
      <c r="C47" s="42" t="s">
        <v>147</v>
      </c>
    </row>
    <row r="48" customFormat="false" ht="14.25" hidden="false" customHeight="true" outlineLevel="0" collapsed="false">
      <c r="A48" s="43" t="s">
        <v>148</v>
      </c>
      <c r="B48" s="44" t="n">
        <f aca="false">INDEX(B40:B45,MATCH(B47,A40:A45,0))</f>
        <v>0.91</v>
      </c>
      <c r="C48" s="40"/>
    </row>
    <row r="49" customFormat="false" ht="14.25" hidden="false" customHeight="true" outlineLevel="0" collapsed="false">
      <c r="A49" s="40"/>
      <c r="B49" s="45"/>
      <c r="C49" s="40"/>
    </row>
    <row r="50" customFormat="false" ht="14.25" hidden="false" customHeight="true" outlineLevel="0" collapsed="false">
      <c r="A50" s="34" t="s">
        <v>149</v>
      </c>
      <c r="B50" s="40"/>
      <c r="C50" s="40"/>
    </row>
    <row r="51" customFormat="false" ht="14.25" hidden="false" customHeight="true" outlineLevel="0" collapsed="false">
      <c r="A51" s="35" t="s">
        <v>2</v>
      </c>
      <c r="B51" s="41" t="s">
        <v>87</v>
      </c>
      <c r="C51" s="35" t="s">
        <v>5</v>
      </c>
    </row>
    <row r="52" customFormat="false" ht="57" hidden="false" customHeight="true" outlineLevel="0" collapsed="false">
      <c r="A52" s="40" t="s">
        <v>150</v>
      </c>
      <c r="B52" s="47" t="n">
        <f aca="false">'Tier 1 Equipment Costs'!B37</f>
        <v>9</v>
      </c>
      <c r="C52" s="42" t="s">
        <v>151</v>
      </c>
    </row>
    <row r="53" customFormat="false" ht="54.75" hidden="false" customHeight="true" outlineLevel="0" collapsed="false">
      <c r="A53" s="40" t="s">
        <v>152</v>
      </c>
      <c r="B53" s="48" t="n">
        <f aca="false">'Tier 1 Equipment Costs'!E37</f>
        <v>100</v>
      </c>
      <c r="C53" s="40"/>
    </row>
    <row r="54" customFormat="false" ht="14.25" hidden="false" customHeight="true" outlineLevel="0" collapsed="false">
      <c r="A54" s="43" t="s">
        <v>153</v>
      </c>
      <c r="B54" s="44" t="n">
        <f aca="false">B52/B53</f>
        <v>0.09</v>
      </c>
      <c r="C54" s="40"/>
    </row>
    <row r="55" customFormat="false" ht="114.75" hidden="false" customHeight="true" outlineLevel="0" collapsed="false">
      <c r="A55" s="40" t="s">
        <v>154</v>
      </c>
      <c r="B55" s="49" t="n">
        <v>1</v>
      </c>
      <c r="C55" s="42" t="s">
        <v>155</v>
      </c>
    </row>
    <row r="56" customFormat="false" ht="60" hidden="false" customHeight="true" outlineLevel="0" collapsed="false">
      <c r="A56" s="43" t="s">
        <v>156</v>
      </c>
      <c r="B56" s="44" t="n">
        <f aca="false">B54/B55</f>
        <v>0.09</v>
      </c>
    </row>
    <row r="57" customFormat="false" ht="14.25" hidden="false" customHeight="true" outlineLevel="0" collapsed="false">
      <c r="A57" s="40"/>
      <c r="B57" s="40"/>
      <c r="C57" s="40"/>
    </row>
    <row r="58" customFormat="false" ht="14.25" hidden="false" customHeight="true" outlineLevel="0" collapsed="false">
      <c r="A58" s="43" t="s">
        <v>157</v>
      </c>
      <c r="B58" s="44" t="n">
        <f aca="false">B30+B48+B56+B36</f>
        <v>2.21</v>
      </c>
      <c r="C58" s="40"/>
    </row>
    <row r="59" customFormat="false" ht="14.25" hidden="false" customHeight="true" outlineLevel="0" collapsed="false">
      <c r="A59" s="40" t="s">
        <v>158</v>
      </c>
      <c r="B59" s="46" t="n">
        <f aca="false">B58/B7</f>
        <v>0.5525</v>
      </c>
      <c r="C59" s="40"/>
    </row>
    <row r="60" customFormat="false" ht="14.25" hidden="false" customHeight="true" outlineLevel="0" collapsed="false">
      <c r="A60" s="40"/>
      <c r="B60" s="40"/>
      <c r="C60" s="40"/>
    </row>
    <row r="61" customFormat="false" ht="186.75" hidden="false" customHeight="true" outlineLevel="0" collapsed="false">
      <c r="A61" s="42" t="s">
        <v>159</v>
      </c>
    </row>
    <row r="63" customFormat="false" ht="14.25" hidden="false" customHeight="true" outlineLevel="0" collapsed="false">
      <c r="A63" s="34" t="s">
        <v>160</v>
      </c>
    </row>
    <row r="64" customFormat="false" ht="14.25" hidden="false" customHeight="true" outlineLevel="0" collapsed="false">
      <c r="A64" s="35" t="s">
        <v>2</v>
      </c>
      <c r="B64" s="35" t="s">
        <v>87</v>
      </c>
      <c r="C64" s="35" t="s">
        <v>5</v>
      </c>
    </row>
    <row r="65" customFormat="false" ht="14.25" hidden="false" customHeight="true" outlineLevel="0" collapsed="false">
      <c r="A65" s="40" t="s">
        <v>161</v>
      </c>
      <c r="B65" s="47" t="n">
        <f aca="false">'Recurring Overhead'!B34</f>
        <v>8.32233333333333</v>
      </c>
      <c r="C65" s="50" t="s">
        <v>162</v>
      </c>
    </row>
    <row r="66" customFormat="false" ht="14.25" hidden="false" customHeight="true" outlineLevel="0" collapsed="false">
      <c r="A66" s="40" t="s">
        <v>163</v>
      </c>
      <c r="B66" s="45" t="n">
        <f aca="false">B65*B7</f>
        <v>33.2893333333333</v>
      </c>
    </row>
    <row r="68" customFormat="false" ht="14.25" hidden="false" customHeight="true" outlineLevel="0" collapsed="false">
      <c r="A68" s="43" t="s">
        <v>164</v>
      </c>
      <c r="B68" s="44" t="n">
        <f aca="false">B58+B66</f>
        <v>35.4993333333333</v>
      </c>
    </row>
    <row r="69" customFormat="false" ht="14.25" hidden="false" customHeight="true" outlineLevel="0" collapsed="false">
      <c r="A69" s="40" t="s">
        <v>165</v>
      </c>
      <c r="B69" s="46" t="n">
        <f aca="false">B68/B7</f>
        <v>8.87483333333333</v>
      </c>
    </row>
    <row r="71" customFormat="false" ht="14.25" hidden="false" customHeight="true" outlineLevel="0" collapsed="false">
      <c r="A71" s="51" t="s">
        <v>166</v>
      </c>
      <c r="B71" s="51"/>
      <c r="C71" s="51"/>
    </row>
  </sheetData>
  <mergeCells count="1">
    <mergeCell ref="A71:C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1"/>
  <sheetViews>
    <sheetView showFormulas="false" showGridLines="true" showRowColHeaders="true" showZeros="true" rightToLeft="false" tabSelected="false" showOutlineSymbols="true" defaultGridColor="true" view="normal" topLeftCell="A45"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55"/>
  </cols>
  <sheetData>
    <row r="1" customFormat="false" ht="17.25" hidden="false" customHeight="true" outlineLevel="0" collapsed="false">
      <c r="A1" s="32" t="s">
        <v>167</v>
      </c>
    </row>
    <row r="2" customFormat="false" ht="14.25" hidden="false" customHeight="true" outlineLevel="0" collapsed="false">
      <c r="A2" s="33" t="s">
        <v>168</v>
      </c>
    </row>
    <row r="4" customFormat="false" ht="14.25" hidden="false" customHeight="true" outlineLevel="0" collapsed="false">
      <c r="A4" s="34" t="s">
        <v>86</v>
      </c>
    </row>
    <row r="5" customFormat="false" ht="14.25" hidden="false" customHeight="true" outlineLevel="0" collapsed="false">
      <c r="A5" s="35" t="s">
        <v>2</v>
      </c>
      <c r="B5" s="35" t="s">
        <v>87</v>
      </c>
      <c r="C5" s="35" t="s">
        <v>5</v>
      </c>
    </row>
    <row r="6" customFormat="false" ht="14.25" hidden="false" customHeight="true" outlineLevel="0" collapsed="false">
      <c r="A6" s="0" t="s">
        <v>88</v>
      </c>
      <c r="B6" s="36" t="s">
        <v>169</v>
      </c>
      <c r="C6" s="33" t="s">
        <v>170</v>
      </c>
    </row>
    <row r="7" customFormat="false" ht="14.25" hidden="false" customHeight="true" outlineLevel="0" collapsed="false">
      <c r="A7" s="0" t="s">
        <v>91</v>
      </c>
      <c r="B7" s="36" t="n">
        <v>2</v>
      </c>
      <c r="C7" s="33" t="s">
        <v>171</v>
      </c>
    </row>
    <row r="8" customFormat="false" ht="14.25" hidden="false" customHeight="true" outlineLevel="0" collapsed="false">
      <c r="A8" s="0" t="s">
        <v>93</v>
      </c>
      <c r="B8" s="36" t="n">
        <v>1</v>
      </c>
      <c r="C8" s="33" t="s">
        <v>172</v>
      </c>
    </row>
    <row r="10" customFormat="false" ht="14.25" hidden="false" customHeight="true" outlineLevel="0" collapsed="false">
      <c r="A10" s="34" t="s">
        <v>95</v>
      </c>
    </row>
    <row r="11" customFormat="false" ht="14.25" hidden="false" customHeight="true" outlineLevel="0" collapsed="false">
      <c r="A11" s="35" t="s">
        <v>2</v>
      </c>
      <c r="B11" s="35" t="s">
        <v>96</v>
      </c>
      <c r="C11" s="35" t="s">
        <v>5</v>
      </c>
    </row>
    <row r="12" customFormat="false" ht="14.25" hidden="false" customHeight="true" outlineLevel="0" collapsed="false">
      <c r="A12" s="0" t="s">
        <v>97</v>
      </c>
      <c r="B12" s="47" t="n">
        <f aca="false">'Bin Stickers 100x140 4pk'!B12</f>
        <v>0.35</v>
      </c>
      <c r="C12" s="33" t="s">
        <v>173</v>
      </c>
    </row>
    <row r="13" customFormat="false" ht="14.25" hidden="false" customHeight="true" outlineLevel="0" collapsed="false">
      <c r="A13" s="0" t="s">
        <v>99</v>
      </c>
      <c r="B13" s="47" t="n">
        <f aca="false">'Bin Stickers 100x140 4pk'!B13</f>
        <v>0.35</v>
      </c>
      <c r="C13" s="33" t="s">
        <v>173</v>
      </c>
    </row>
    <row r="14" customFormat="false" ht="14.25" hidden="false" customHeight="true" outlineLevel="0" collapsed="false">
      <c r="A14" s="0" t="s">
        <v>101</v>
      </c>
      <c r="B14" s="47" t="n">
        <f aca="false">'Bin Stickers 100x140 4pk'!B14</f>
        <v>0.1</v>
      </c>
      <c r="C14" s="33" t="s">
        <v>174</v>
      </c>
    </row>
    <row r="15" customFormat="false" ht="14.25" hidden="false" customHeight="true" outlineLevel="0" collapsed="false">
      <c r="A15" s="0" t="s">
        <v>103</v>
      </c>
      <c r="B15" s="38" t="n">
        <f aca="false">SUM(B12:B14)</f>
        <v>0.8</v>
      </c>
    </row>
    <row r="17" customFormat="false" ht="14.25" hidden="false" customHeight="true" outlineLevel="0" collapsed="false">
      <c r="A17" s="0" t="s">
        <v>104</v>
      </c>
      <c r="B17" s="39" t="n">
        <f aca="false">B8</f>
        <v>1</v>
      </c>
    </row>
    <row r="18" customFormat="false" ht="14.25" hidden="false" customHeight="true" outlineLevel="0" collapsed="false">
      <c r="A18" s="0" t="s">
        <v>105</v>
      </c>
      <c r="B18" s="38" t="n">
        <f aca="false">B15*B17</f>
        <v>0.8</v>
      </c>
    </row>
    <row r="20" customFormat="false" ht="14.25" hidden="false" customHeight="true" outlineLevel="0" collapsed="false">
      <c r="A20" s="34" t="s">
        <v>175</v>
      </c>
      <c r="B20" s="40"/>
      <c r="C20" s="40"/>
    </row>
    <row r="21" customFormat="false" ht="14.25" hidden="false" customHeight="true" outlineLevel="0" collapsed="false">
      <c r="A21" s="35" t="s">
        <v>107</v>
      </c>
      <c r="B21" s="41" t="s">
        <v>108</v>
      </c>
      <c r="C21" s="35" t="s">
        <v>5</v>
      </c>
    </row>
    <row r="22" customFormat="false" ht="54.75" hidden="false" customHeight="true" outlineLevel="0" collapsed="false">
      <c r="A22" s="40" t="s">
        <v>176</v>
      </c>
      <c r="B22" s="37" t="n">
        <v>0.22</v>
      </c>
      <c r="C22" s="42" t="s">
        <v>177</v>
      </c>
    </row>
    <row r="23" customFormat="false" ht="41.25" hidden="false" customHeight="true" outlineLevel="0" collapsed="false">
      <c r="A23" s="40" t="s">
        <v>178</v>
      </c>
      <c r="B23" s="37" t="n">
        <v>0.24</v>
      </c>
      <c r="C23" s="42" t="s">
        <v>179</v>
      </c>
    </row>
    <row r="24" customFormat="false" ht="54.75" hidden="false" customHeight="true" outlineLevel="0" collapsed="false">
      <c r="A24" s="40" t="s">
        <v>180</v>
      </c>
      <c r="B24" s="37" t="n">
        <v>0.35</v>
      </c>
      <c r="C24" s="42" t="s">
        <v>181</v>
      </c>
    </row>
    <row r="25" customFormat="false" ht="14.25" hidden="false" customHeight="true" outlineLevel="0" collapsed="false">
      <c r="A25" s="40" t="s">
        <v>182</v>
      </c>
      <c r="B25" s="37" t="n">
        <v>0.45</v>
      </c>
      <c r="C25" s="42" t="s">
        <v>183</v>
      </c>
    </row>
    <row r="26" customFormat="false" ht="54.75" hidden="false" customHeight="true" outlineLevel="0" collapsed="false">
      <c r="A26" s="40"/>
      <c r="B26" s="40"/>
      <c r="C26" s="40"/>
    </row>
    <row r="27" customFormat="false" ht="14.25" hidden="false" customHeight="true" outlineLevel="0" collapsed="false">
      <c r="A27" s="40" t="s">
        <v>184</v>
      </c>
      <c r="B27" s="37" t="s">
        <v>176</v>
      </c>
      <c r="C27" s="42" t="s">
        <v>185</v>
      </c>
    </row>
    <row r="28" customFormat="false" ht="14.25" hidden="false" customHeight="true" outlineLevel="0" collapsed="false">
      <c r="A28" s="43" t="s">
        <v>121</v>
      </c>
      <c r="B28" s="44" t="n">
        <f aca="false">INDEX(B22:B25,MATCH(B27,A22:A25,0))</f>
        <v>0.22</v>
      </c>
      <c r="C28" s="40"/>
    </row>
    <row r="29" customFormat="false" ht="14.25" hidden="false" customHeight="true" outlineLevel="0" collapsed="false">
      <c r="A29" s="40"/>
      <c r="B29" s="45"/>
      <c r="C29" s="40"/>
    </row>
    <row r="30" customFormat="false" ht="14.25" hidden="false" customHeight="true" outlineLevel="0" collapsed="false">
      <c r="A30" s="43" t="s">
        <v>122</v>
      </c>
      <c r="B30" s="44" t="n">
        <f aca="false">B18+B28</f>
        <v>1.02</v>
      </c>
      <c r="C30" s="40"/>
    </row>
    <row r="31" customFormat="false" ht="14.25" hidden="false" customHeight="true" outlineLevel="0" collapsed="false">
      <c r="A31" s="40" t="s">
        <v>123</v>
      </c>
      <c r="B31" s="46" t="n">
        <f aca="false">B30/B7</f>
        <v>0.51</v>
      </c>
      <c r="C31" s="40"/>
    </row>
    <row r="32" customFormat="false" ht="14.25" hidden="false" customHeight="true" outlineLevel="0" collapsed="false">
      <c r="A32" s="0" t="s">
        <v>124</v>
      </c>
    </row>
    <row r="33" customFormat="false" ht="14.25" hidden="false" customHeight="true" outlineLevel="0" collapsed="false">
      <c r="A33" s="0" t="s">
        <v>2</v>
      </c>
      <c r="B33" s="0" t="s">
        <v>96</v>
      </c>
      <c r="C33" s="0" t="s">
        <v>5</v>
      </c>
    </row>
    <row r="34" customFormat="false" ht="54.75" hidden="false" customHeight="true" outlineLevel="0" collapsed="false">
      <c r="A34" s="0" t="s">
        <v>125</v>
      </c>
      <c r="B34" s="52" t="n">
        <f aca="false">'Bin Stickers 100x140 4pk'!B34</f>
        <v>0.06</v>
      </c>
      <c r="C34" s="7" t="s">
        <v>126</v>
      </c>
    </row>
    <row r="35" customFormat="false" ht="27.75" hidden="false" customHeight="true" outlineLevel="0" collapsed="false">
      <c r="A35" s="0" t="s">
        <v>127</v>
      </c>
      <c r="B35" s="52" t="n">
        <f aca="false">'Bin Stickers 100x140 4pk'!B35</f>
        <v>0.1</v>
      </c>
      <c r="C35" s="7" t="s">
        <v>186</v>
      </c>
    </row>
    <row r="36" customFormat="false" ht="27.75" hidden="false" customHeight="true" outlineLevel="0" collapsed="false">
      <c r="A36" s="0" t="s">
        <v>129</v>
      </c>
      <c r="B36" s="0" t="n">
        <f aca="false">SUM(B34:B35)</f>
        <v>0.16</v>
      </c>
    </row>
    <row r="37" customFormat="false" ht="27.75" hidden="false" customHeight="true" outlineLevel="0" collapsed="false">
      <c r="A37" s="43" t="s">
        <v>130</v>
      </c>
      <c r="B37" s="44" t="n">
        <f aca="false">B36+B30</f>
        <v>1.18</v>
      </c>
      <c r="C37" s="40"/>
    </row>
    <row r="38" customFormat="false" ht="28.5" hidden="false" customHeight="true" outlineLevel="0" collapsed="false">
      <c r="A38" s="34" t="s">
        <v>131</v>
      </c>
      <c r="B38" s="40"/>
      <c r="C38" s="40"/>
    </row>
    <row r="39" customFormat="false" ht="27.75" hidden="false" customHeight="true" outlineLevel="0" collapsed="false">
      <c r="A39" s="35" t="s">
        <v>132</v>
      </c>
      <c r="B39" s="41" t="s">
        <v>133</v>
      </c>
      <c r="C39" s="35" t="s">
        <v>5</v>
      </c>
    </row>
    <row r="40" customFormat="false" ht="14.25" hidden="false" customHeight="true" outlineLevel="0" collapsed="false">
      <c r="A40" s="40" t="s">
        <v>134</v>
      </c>
      <c r="B40" s="47" t="n">
        <f aca="false">'Bin Stickers 100x140 4pk'!B40</f>
        <v>0.91</v>
      </c>
      <c r="C40" s="42" t="s">
        <v>187</v>
      </c>
    </row>
    <row r="41" customFormat="false" ht="14.25" hidden="false" customHeight="true" outlineLevel="0" collapsed="false">
      <c r="A41" s="40" t="s">
        <v>136</v>
      </c>
      <c r="B41" s="47" t="n">
        <f aca="false">'Bin Stickers 100x140 4pk'!B41</f>
        <v>1.55</v>
      </c>
      <c r="C41" s="42" t="s">
        <v>137</v>
      </c>
    </row>
    <row r="42" customFormat="false" ht="14.25" hidden="false" customHeight="true" outlineLevel="0" collapsed="false">
      <c r="A42" s="40" t="s">
        <v>138</v>
      </c>
      <c r="B42" s="47" t="n">
        <f aca="false">'Bin Stickers 100x140 4pk'!B42</f>
        <v>1.9</v>
      </c>
      <c r="C42" s="42" t="s">
        <v>139</v>
      </c>
    </row>
    <row r="43" customFormat="false" ht="14.25" hidden="false" customHeight="true" outlineLevel="0" collapsed="false">
      <c r="A43" s="40" t="s">
        <v>140</v>
      </c>
      <c r="B43" s="47" t="n">
        <f aca="false">'Bin Stickers 100x140 4pk'!B43</f>
        <v>2.75</v>
      </c>
      <c r="C43" s="42" t="s">
        <v>141</v>
      </c>
    </row>
    <row r="44" customFormat="false" ht="54.75" hidden="false" customHeight="true" outlineLevel="0" collapsed="false">
      <c r="A44" s="40" t="s">
        <v>142</v>
      </c>
      <c r="B44" s="47" t="n">
        <f aca="false">'Bin Stickers 100x140 4pk'!B44</f>
        <v>3.65</v>
      </c>
      <c r="C44" s="42" t="s">
        <v>143</v>
      </c>
    </row>
    <row r="45" customFormat="false" ht="45" hidden="false" customHeight="true" outlineLevel="0" collapsed="false">
      <c r="A45" s="40" t="s">
        <v>144</v>
      </c>
      <c r="B45" s="47" t="n">
        <f aca="false">'Bin Stickers 100x140 4pk'!B45</f>
        <v>8.75</v>
      </c>
      <c r="C45" s="42" t="s">
        <v>145</v>
      </c>
    </row>
    <row r="46" customFormat="false" ht="14.25" hidden="false" customHeight="true" outlineLevel="0" collapsed="false">
      <c r="A46" s="40"/>
      <c r="B46" s="40"/>
      <c r="C46" s="40"/>
    </row>
    <row r="47" customFormat="false" ht="81.75" hidden="false" customHeight="true" outlineLevel="0" collapsed="false">
      <c r="A47" s="40" t="s">
        <v>146</v>
      </c>
      <c r="B47" s="37" t="s">
        <v>138</v>
      </c>
      <c r="C47" s="42" t="s">
        <v>188</v>
      </c>
    </row>
    <row r="48" customFormat="false" ht="14.25" hidden="false" customHeight="true" outlineLevel="0" collapsed="false">
      <c r="A48" s="43" t="s">
        <v>148</v>
      </c>
      <c r="B48" s="44" t="n">
        <f aca="false">INDEX(B40:B45,MATCH(B47,A40:A45,0))</f>
        <v>1.9</v>
      </c>
      <c r="C48" s="40"/>
    </row>
    <row r="49" customFormat="false" ht="14.25" hidden="false" customHeight="true" outlineLevel="0" collapsed="false">
      <c r="A49" s="40"/>
      <c r="B49" s="45"/>
      <c r="C49" s="40"/>
    </row>
    <row r="50" customFormat="false" ht="14.25" hidden="false" customHeight="true" outlineLevel="0" collapsed="false">
      <c r="A50" s="34" t="s">
        <v>189</v>
      </c>
      <c r="B50" s="40"/>
      <c r="C50" s="40"/>
    </row>
    <row r="51" customFormat="false" ht="14.25" hidden="false" customHeight="true" outlineLevel="0" collapsed="false">
      <c r="A51" s="35" t="s">
        <v>2</v>
      </c>
      <c r="B51" s="41" t="s">
        <v>87</v>
      </c>
      <c r="C51" s="35" t="s">
        <v>5</v>
      </c>
    </row>
    <row r="52" customFormat="false" ht="57" hidden="false" customHeight="true" outlineLevel="0" collapsed="false">
      <c r="A52" s="40" t="s">
        <v>190</v>
      </c>
      <c r="B52" s="47" t="n">
        <f aca="false">'Bin Stickers 100x140 4pk'!B52</f>
        <v>9</v>
      </c>
      <c r="C52" s="42" t="s">
        <v>191</v>
      </c>
    </row>
    <row r="53" customFormat="false" ht="54.75" hidden="false" customHeight="true" outlineLevel="0" collapsed="false">
      <c r="A53" s="40" t="s">
        <v>152</v>
      </c>
      <c r="B53" s="48" t="n">
        <f aca="false">'Bin Stickers 100x140 4pk'!B53</f>
        <v>100</v>
      </c>
      <c r="C53" s="40"/>
    </row>
    <row r="54" customFormat="false" ht="14.25" hidden="false" customHeight="true" outlineLevel="0" collapsed="false">
      <c r="A54" s="43" t="s">
        <v>153</v>
      </c>
      <c r="B54" s="44" t="n">
        <f aca="false">B52/B53</f>
        <v>0.09</v>
      </c>
      <c r="C54" s="40"/>
    </row>
    <row r="55" customFormat="false" ht="114.75" hidden="false" customHeight="true" outlineLevel="0" collapsed="false">
      <c r="A55" s="40" t="s">
        <v>154</v>
      </c>
      <c r="B55" s="48" t="n">
        <f aca="false">'Bin Stickers 100x140 4pk'!B55</f>
        <v>1</v>
      </c>
      <c r="C55" s="42" t="s">
        <v>192</v>
      </c>
    </row>
    <row r="56" customFormat="false" ht="60" hidden="false" customHeight="true" outlineLevel="0" collapsed="false">
      <c r="A56" s="43" t="s">
        <v>156</v>
      </c>
      <c r="B56" s="44" t="n">
        <f aca="false">B54/B55</f>
        <v>0.09</v>
      </c>
    </row>
    <row r="57" customFormat="false" ht="14.25" hidden="false" customHeight="true" outlineLevel="0" collapsed="false">
      <c r="A57" s="40"/>
      <c r="B57" s="40"/>
      <c r="C57" s="40"/>
    </row>
    <row r="58" customFormat="false" ht="14.25" hidden="false" customHeight="true" outlineLevel="0" collapsed="false">
      <c r="A58" s="43" t="s">
        <v>157</v>
      </c>
      <c r="B58" s="44" t="n">
        <f aca="false">B30+B48+B56+B36</f>
        <v>3.17</v>
      </c>
      <c r="C58" s="40"/>
    </row>
    <row r="59" customFormat="false" ht="14.25" hidden="false" customHeight="true" outlineLevel="0" collapsed="false">
      <c r="A59" s="40" t="s">
        <v>158</v>
      </c>
      <c r="B59" s="46" t="n">
        <f aca="false">B58/B7</f>
        <v>1.585</v>
      </c>
      <c r="C59" s="40"/>
    </row>
    <row r="60" customFormat="false" ht="14.25" hidden="false" customHeight="true" outlineLevel="0" collapsed="false">
      <c r="A60" s="40"/>
      <c r="B60" s="40"/>
      <c r="C60" s="40"/>
    </row>
    <row r="61" customFormat="false" ht="186.75" hidden="false" customHeight="true" outlineLevel="0" collapsed="false">
      <c r="A61" s="42" t="s">
        <v>159</v>
      </c>
    </row>
    <row r="63" customFormat="false" ht="14.25" hidden="false" customHeight="true" outlineLevel="0" collapsed="false">
      <c r="A63" s="34" t="s">
        <v>160</v>
      </c>
    </row>
    <row r="64" customFormat="false" ht="14.25" hidden="false" customHeight="true" outlineLevel="0" collapsed="false">
      <c r="A64" s="35" t="s">
        <v>2</v>
      </c>
      <c r="B64" s="35" t="s">
        <v>87</v>
      </c>
      <c r="C64" s="35" t="s">
        <v>5</v>
      </c>
    </row>
    <row r="65" customFormat="false" ht="14.25" hidden="false" customHeight="true" outlineLevel="0" collapsed="false">
      <c r="A65" s="40" t="s">
        <v>161</v>
      </c>
      <c r="B65" s="47" t="n">
        <f aca="false">'Recurring Overhead'!B34</f>
        <v>8.32233333333333</v>
      </c>
      <c r="C65" s="50" t="s">
        <v>162</v>
      </c>
    </row>
    <row r="66" customFormat="false" ht="14.25" hidden="false" customHeight="true" outlineLevel="0" collapsed="false">
      <c r="A66" s="40" t="s">
        <v>163</v>
      </c>
      <c r="B66" s="45" t="n">
        <f aca="false">B65*B7</f>
        <v>16.6446666666667</v>
      </c>
    </row>
    <row r="68" customFormat="false" ht="14.25" hidden="false" customHeight="true" outlineLevel="0" collapsed="false">
      <c r="A68" s="43" t="s">
        <v>164</v>
      </c>
      <c r="B68" s="44" t="n">
        <f aca="false">B58+B66</f>
        <v>19.8146666666667</v>
      </c>
    </row>
    <row r="69" customFormat="false" ht="14.25" hidden="false" customHeight="true" outlineLevel="0" collapsed="false">
      <c r="A69" s="40" t="s">
        <v>165</v>
      </c>
      <c r="B69" s="46" t="n">
        <f aca="false">B68/B7</f>
        <v>9.90733333333333</v>
      </c>
    </row>
    <row r="71" customFormat="false" ht="14.25" hidden="false" customHeight="true" outlineLevel="0" collapsed="false">
      <c r="A71" s="51" t="s">
        <v>166</v>
      </c>
      <c r="B71" s="51"/>
      <c r="C71" s="51"/>
    </row>
  </sheetData>
  <mergeCells count="1">
    <mergeCell ref="A71:C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55"/>
  </cols>
  <sheetData>
    <row r="1" customFormat="false" ht="17.25" hidden="false" customHeight="true" outlineLevel="0" collapsed="false">
      <c r="A1" s="32" t="s">
        <v>193</v>
      </c>
    </row>
    <row r="2" customFormat="false" ht="14.25" hidden="false" customHeight="true" outlineLevel="0" collapsed="false">
      <c r="A2" s="33" t="s">
        <v>168</v>
      </c>
    </row>
    <row r="4" customFormat="false" ht="14.25" hidden="false" customHeight="true" outlineLevel="0" collapsed="false">
      <c r="A4" s="34" t="s">
        <v>86</v>
      </c>
    </row>
    <row r="5" customFormat="false" ht="14.25" hidden="false" customHeight="true" outlineLevel="0" collapsed="false">
      <c r="A5" s="35" t="s">
        <v>2</v>
      </c>
      <c r="B5" s="35" t="s">
        <v>87</v>
      </c>
      <c r="C5" s="35" t="s">
        <v>5</v>
      </c>
    </row>
    <row r="6" customFormat="false" ht="14.25" hidden="false" customHeight="true" outlineLevel="0" collapsed="false">
      <c r="A6" s="0" t="s">
        <v>88</v>
      </c>
      <c r="B6" s="36" t="s">
        <v>194</v>
      </c>
      <c r="C6" s="33" t="s">
        <v>195</v>
      </c>
    </row>
    <row r="7" customFormat="false" ht="14.25" hidden="false" customHeight="true" outlineLevel="0" collapsed="false">
      <c r="A7" s="0" t="s">
        <v>91</v>
      </c>
      <c r="B7" s="36" t="n">
        <v>1</v>
      </c>
      <c r="C7" s="33" t="s">
        <v>196</v>
      </c>
    </row>
    <row r="8" customFormat="false" ht="14.25" hidden="false" customHeight="true" outlineLevel="0" collapsed="false">
      <c r="A8" s="0" t="s">
        <v>93</v>
      </c>
      <c r="B8" s="36" t="n">
        <v>1</v>
      </c>
      <c r="C8" s="33" t="s">
        <v>197</v>
      </c>
    </row>
    <row r="10" customFormat="false" ht="14.25" hidden="false" customHeight="true" outlineLevel="0" collapsed="false">
      <c r="A10" s="34" t="s">
        <v>95</v>
      </c>
    </row>
    <row r="11" customFormat="false" ht="14.25" hidden="false" customHeight="true" outlineLevel="0" collapsed="false">
      <c r="A11" s="35" t="s">
        <v>2</v>
      </c>
      <c r="B11" s="35" t="s">
        <v>96</v>
      </c>
      <c r="C11" s="35" t="s">
        <v>5</v>
      </c>
    </row>
    <row r="12" customFormat="false" ht="14.25" hidden="false" customHeight="true" outlineLevel="0" collapsed="false">
      <c r="A12" s="0" t="s">
        <v>97</v>
      </c>
      <c r="B12" s="47" t="n">
        <f aca="false">'Bin Stickers 100x140 4pk'!B12</f>
        <v>0.35</v>
      </c>
      <c r="C12" s="33" t="s">
        <v>173</v>
      </c>
    </row>
    <row r="13" customFormat="false" ht="14.25" hidden="false" customHeight="true" outlineLevel="0" collapsed="false">
      <c r="A13" s="0" t="s">
        <v>99</v>
      </c>
      <c r="B13" s="47" t="n">
        <f aca="false">'Bin Stickers 100x140 4pk'!B13</f>
        <v>0.35</v>
      </c>
      <c r="C13" s="33" t="s">
        <v>173</v>
      </c>
    </row>
    <row r="14" customFormat="false" ht="14.25" hidden="false" customHeight="true" outlineLevel="0" collapsed="false">
      <c r="A14" s="0" t="s">
        <v>101</v>
      </c>
      <c r="B14" s="47" t="n">
        <f aca="false">'Bin Stickers 100x140 4pk'!B14</f>
        <v>0.1</v>
      </c>
      <c r="C14" s="33" t="s">
        <v>174</v>
      </c>
    </row>
    <row r="15" customFormat="false" ht="14.25" hidden="false" customHeight="true" outlineLevel="0" collapsed="false">
      <c r="A15" s="0" t="s">
        <v>103</v>
      </c>
      <c r="B15" s="38" t="n">
        <f aca="false">SUM(B12:B14)</f>
        <v>0.8</v>
      </c>
    </row>
    <row r="17" customFormat="false" ht="14.25" hidden="false" customHeight="true" outlineLevel="0" collapsed="false">
      <c r="A17" s="0" t="s">
        <v>104</v>
      </c>
      <c r="B17" s="39" t="n">
        <f aca="false">B8</f>
        <v>1</v>
      </c>
    </row>
    <row r="18" customFormat="false" ht="14.25" hidden="false" customHeight="true" outlineLevel="0" collapsed="false">
      <c r="A18" s="0" t="s">
        <v>105</v>
      </c>
      <c r="B18" s="38" t="n">
        <f aca="false">B15*B17</f>
        <v>0.8</v>
      </c>
    </row>
    <row r="20" customFormat="false" ht="14.25" hidden="false" customHeight="true" outlineLevel="0" collapsed="false">
      <c r="A20" s="34" t="s">
        <v>198</v>
      </c>
      <c r="B20" s="40"/>
      <c r="C20" s="40"/>
    </row>
    <row r="21" customFormat="false" ht="14.25" hidden="false" customHeight="true" outlineLevel="0" collapsed="false">
      <c r="A21" s="35" t="s">
        <v>107</v>
      </c>
      <c r="B21" s="41" t="s">
        <v>108</v>
      </c>
      <c r="C21" s="35" t="s">
        <v>5</v>
      </c>
    </row>
    <row r="22" customFormat="false" ht="54.75" hidden="false" customHeight="true" outlineLevel="0" collapsed="false">
      <c r="A22" s="40" t="s">
        <v>176</v>
      </c>
      <c r="B22" s="37" t="n">
        <v>0.22</v>
      </c>
      <c r="C22" s="42" t="s">
        <v>199</v>
      </c>
    </row>
    <row r="23" customFormat="false" ht="41.25" hidden="false" customHeight="true" outlineLevel="0" collapsed="false">
      <c r="A23" s="40" t="s">
        <v>178</v>
      </c>
      <c r="B23" s="37" t="n">
        <v>0.24</v>
      </c>
      <c r="C23" s="42" t="s">
        <v>200</v>
      </c>
    </row>
    <row r="24" customFormat="false" ht="54.75" hidden="false" customHeight="true" outlineLevel="0" collapsed="false">
      <c r="A24" s="40" t="s">
        <v>180</v>
      </c>
      <c r="B24" s="37" t="n">
        <v>0.35</v>
      </c>
      <c r="C24" s="42" t="s">
        <v>201</v>
      </c>
    </row>
    <row r="25" customFormat="false" ht="14.25" hidden="false" customHeight="true" outlineLevel="0" collapsed="false">
      <c r="A25" s="40" t="s">
        <v>182</v>
      </c>
      <c r="B25" s="37" t="n">
        <v>0.45</v>
      </c>
      <c r="C25" s="42" t="s">
        <v>202</v>
      </c>
    </row>
    <row r="26" customFormat="false" ht="54.75" hidden="false" customHeight="true" outlineLevel="0" collapsed="false">
      <c r="A26" s="40"/>
      <c r="B26" s="40"/>
      <c r="C26" s="40"/>
    </row>
    <row r="27" customFormat="false" ht="14.25" hidden="false" customHeight="true" outlineLevel="0" collapsed="false">
      <c r="A27" s="40" t="s">
        <v>184</v>
      </c>
      <c r="B27" s="37" t="s">
        <v>178</v>
      </c>
      <c r="C27" s="42" t="s">
        <v>203</v>
      </c>
    </row>
    <row r="28" customFormat="false" ht="14.25" hidden="false" customHeight="true" outlineLevel="0" collapsed="false">
      <c r="A28" s="43" t="s">
        <v>121</v>
      </c>
      <c r="B28" s="44" t="n">
        <f aca="false">INDEX(B22:B25,MATCH(B27,A22:A25,0))</f>
        <v>0.24</v>
      </c>
      <c r="C28" s="40"/>
    </row>
    <row r="29" customFormat="false" ht="14.25" hidden="false" customHeight="true" outlineLevel="0" collapsed="false">
      <c r="A29" s="40"/>
      <c r="B29" s="45"/>
      <c r="C29" s="40"/>
    </row>
    <row r="30" customFormat="false" ht="14.25" hidden="false" customHeight="true" outlineLevel="0" collapsed="false">
      <c r="A30" s="43" t="s">
        <v>122</v>
      </c>
      <c r="B30" s="44" t="n">
        <f aca="false">B18+B28</f>
        <v>1.04</v>
      </c>
      <c r="C30" s="40"/>
    </row>
    <row r="31" customFormat="false" ht="14.25" hidden="false" customHeight="true" outlineLevel="0" collapsed="false">
      <c r="A31" s="40" t="s">
        <v>123</v>
      </c>
      <c r="B31" s="46" t="n">
        <f aca="false">B30/B7</f>
        <v>1.04</v>
      </c>
      <c r="C31" s="40"/>
    </row>
    <row r="32" customFormat="false" ht="14.25" hidden="false" customHeight="true" outlineLevel="0" collapsed="false">
      <c r="A32" s="0" t="s">
        <v>124</v>
      </c>
    </row>
    <row r="33" customFormat="false" ht="14.25" hidden="false" customHeight="true" outlineLevel="0" collapsed="false">
      <c r="A33" s="0" t="s">
        <v>2</v>
      </c>
      <c r="B33" s="0" t="s">
        <v>96</v>
      </c>
      <c r="C33" s="0" t="s">
        <v>5</v>
      </c>
    </row>
    <row r="34" customFormat="false" ht="54.75" hidden="false" customHeight="true" outlineLevel="0" collapsed="false">
      <c r="A34" s="0" t="s">
        <v>125</v>
      </c>
      <c r="B34" s="52" t="n">
        <f aca="false">'Bin Stickers 100x140 4pk'!B34</f>
        <v>0.06</v>
      </c>
      <c r="C34" s="7" t="s">
        <v>126</v>
      </c>
    </row>
    <row r="35" customFormat="false" ht="27.75" hidden="false" customHeight="true" outlineLevel="0" collapsed="false">
      <c r="A35" s="0" t="s">
        <v>127</v>
      </c>
      <c r="B35" s="52" t="n">
        <f aca="false">'Bin Stickers 100x140 4pk'!B35</f>
        <v>0.1</v>
      </c>
      <c r="C35" s="7" t="s">
        <v>186</v>
      </c>
    </row>
    <row r="36" customFormat="false" ht="27.75" hidden="false" customHeight="true" outlineLevel="0" collapsed="false">
      <c r="A36" s="0" t="s">
        <v>129</v>
      </c>
      <c r="B36" s="0" t="n">
        <f aca="false">SUM(B34:B35)</f>
        <v>0.16</v>
      </c>
    </row>
    <row r="37" customFormat="false" ht="27.75" hidden="false" customHeight="true" outlineLevel="0" collapsed="false">
      <c r="A37" s="43" t="s">
        <v>130</v>
      </c>
      <c r="B37" s="44" t="n">
        <f aca="false">B36+B30</f>
        <v>1.2</v>
      </c>
      <c r="C37" s="40"/>
    </row>
    <row r="38" customFormat="false" ht="28.5" hidden="false" customHeight="true" outlineLevel="0" collapsed="false">
      <c r="A38" s="34" t="s">
        <v>131</v>
      </c>
      <c r="B38" s="40"/>
      <c r="C38" s="40"/>
    </row>
    <row r="39" customFormat="false" ht="27.75" hidden="false" customHeight="true" outlineLevel="0" collapsed="false">
      <c r="A39" s="35" t="s">
        <v>132</v>
      </c>
      <c r="B39" s="41" t="s">
        <v>133</v>
      </c>
      <c r="C39" s="35" t="s">
        <v>5</v>
      </c>
    </row>
    <row r="40" customFormat="false" ht="14.25" hidden="false" customHeight="true" outlineLevel="0" collapsed="false">
      <c r="A40" s="40" t="s">
        <v>134</v>
      </c>
      <c r="B40" s="47" t="n">
        <f aca="false">'Bin Stickers 100x140 4pk'!B40</f>
        <v>0.91</v>
      </c>
      <c r="C40" s="42" t="s">
        <v>187</v>
      </c>
    </row>
    <row r="41" customFormat="false" ht="14.25" hidden="false" customHeight="true" outlineLevel="0" collapsed="false">
      <c r="A41" s="40" t="s">
        <v>136</v>
      </c>
      <c r="B41" s="47" t="n">
        <f aca="false">'Bin Stickers 100x140 4pk'!B41</f>
        <v>1.55</v>
      </c>
      <c r="C41" s="42" t="s">
        <v>137</v>
      </c>
    </row>
    <row r="42" customFormat="false" ht="14.25" hidden="false" customHeight="true" outlineLevel="0" collapsed="false">
      <c r="A42" s="40" t="s">
        <v>138</v>
      </c>
      <c r="B42" s="47" t="n">
        <f aca="false">'Bin Stickers 100x140 4pk'!B42</f>
        <v>1.9</v>
      </c>
      <c r="C42" s="42" t="s">
        <v>139</v>
      </c>
    </row>
    <row r="43" customFormat="false" ht="14.25" hidden="false" customHeight="true" outlineLevel="0" collapsed="false">
      <c r="A43" s="40" t="s">
        <v>140</v>
      </c>
      <c r="B43" s="47" t="n">
        <f aca="false">'Bin Stickers 100x140 4pk'!B43</f>
        <v>2.75</v>
      </c>
      <c r="C43" s="42" t="s">
        <v>141</v>
      </c>
    </row>
    <row r="44" customFormat="false" ht="54.75" hidden="false" customHeight="true" outlineLevel="0" collapsed="false">
      <c r="A44" s="40" t="s">
        <v>142</v>
      </c>
      <c r="B44" s="47" t="n">
        <f aca="false">'Bin Stickers 100x140 4pk'!B44</f>
        <v>3.65</v>
      </c>
      <c r="C44" s="42" t="s">
        <v>143</v>
      </c>
    </row>
    <row r="45" customFormat="false" ht="45" hidden="false" customHeight="true" outlineLevel="0" collapsed="false">
      <c r="A45" s="40" t="s">
        <v>144</v>
      </c>
      <c r="B45" s="47" t="n">
        <f aca="false">'Bin Stickers 100x140 4pk'!B45</f>
        <v>8.75</v>
      </c>
      <c r="C45" s="42" t="s">
        <v>145</v>
      </c>
    </row>
    <row r="46" customFormat="false" ht="14.25" hidden="false" customHeight="true" outlineLevel="0" collapsed="false">
      <c r="A46" s="40"/>
      <c r="B46" s="40"/>
      <c r="C46" s="40"/>
    </row>
    <row r="47" customFormat="false" ht="81.75" hidden="false" customHeight="true" outlineLevel="0" collapsed="false">
      <c r="A47" s="40" t="s">
        <v>146</v>
      </c>
      <c r="B47" s="37" t="s">
        <v>138</v>
      </c>
      <c r="C47" s="42" t="s">
        <v>204</v>
      </c>
    </row>
    <row r="48" customFormat="false" ht="14.25" hidden="false" customHeight="true" outlineLevel="0" collapsed="false">
      <c r="A48" s="43" t="s">
        <v>148</v>
      </c>
      <c r="B48" s="44" t="n">
        <f aca="false">INDEX(B40:B45,MATCH(B47,A40:A45,0))</f>
        <v>1.9</v>
      </c>
      <c r="C48" s="40"/>
    </row>
    <row r="49" customFormat="false" ht="14.25" hidden="false" customHeight="true" outlineLevel="0" collapsed="false">
      <c r="A49" s="40"/>
      <c r="B49" s="45"/>
      <c r="C49" s="40"/>
    </row>
    <row r="50" customFormat="false" ht="14.25" hidden="false" customHeight="true" outlineLevel="0" collapsed="false">
      <c r="A50" s="34" t="s">
        <v>189</v>
      </c>
      <c r="B50" s="40"/>
      <c r="C50" s="40"/>
    </row>
    <row r="51" customFormat="false" ht="14.25" hidden="false" customHeight="true" outlineLevel="0" collapsed="false">
      <c r="A51" s="35" t="s">
        <v>2</v>
      </c>
      <c r="B51" s="41" t="s">
        <v>87</v>
      </c>
      <c r="C51" s="35" t="s">
        <v>5</v>
      </c>
    </row>
    <row r="52" customFormat="false" ht="57" hidden="false" customHeight="true" outlineLevel="0" collapsed="false">
      <c r="A52" s="40" t="s">
        <v>190</v>
      </c>
      <c r="B52" s="47" t="n">
        <f aca="false">'Bin Stickers 100x140 4pk'!B52</f>
        <v>9</v>
      </c>
      <c r="C52" s="42" t="s">
        <v>191</v>
      </c>
    </row>
    <row r="53" customFormat="false" ht="54.75" hidden="false" customHeight="true" outlineLevel="0" collapsed="false">
      <c r="A53" s="40" t="s">
        <v>152</v>
      </c>
      <c r="B53" s="48" t="n">
        <f aca="false">'Bin Stickers 100x140 4pk'!B53</f>
        <v>100</v>
      </c>
      <c r="C53" s="40"/>
    </row>
    <row r="54" customFormat="false" ht="14.25" hidden="false" customHeight="true" outlineLevel="0" collapsed="false">
      <c r="A54" s="43" t="s">
        <v>153</v>
      </c>
      <c r="B54" s="44" t="n">
        <f aca="false">B52/B53</f>
        <v>0.09</v>
      </c>
      <c r="C54" s="40"/>
    </row>
    <row r="55" customFormat="false" ht="114.75" hidden="false" customHeight="true" outlineLevel="0" collapsed="false">
      <c r="A55" s="40" t="s">
        <v>154</v>
      </c>
      <c r="B55" s="48" t="n">
        <f aca="false">'Bin Stickers 100x140 4pk'!B55</f>
        <v>1</v>
      </c>
      <c r="C55" s="42" t="s">
        <v>192</v>
      </c>
    </row>
    <row r="56" customFormat="false" ht="60" hidden="false" customHeight="true" outlineLevel="0" collapsed="false">
      <c r="A56" s="43" t="s">
        <v>156</v>
      </c>
      <c r="B56" s="44" t="n">
        <f aca="false">B54/B55</f>
        <v>0.09</v>
      </c>
    </row>
    <row r="57" customFormat="false" ht="14.25" hidden="false" customHeight="true" outlineLevel="0" collapsed="false">
      <c r="A57" s="40"/>
      <c r="B57" s="40"/>
      <c r="C57" s="40"/>
    </row>
    <row r="58" customFormat="false" ht="14.25" hidden="false" customHeight="true" outlineLevel="0" collapsed="false">
      <c r="A58" s="43" t="s">
        <v>157</v>
      </c>
      <c r="B58" s="44" t="n">
        <f aca="false">B30+B48+B56+B36</f>
        <v>3.19</v>
      </c>
      <c r="C58" s="40"/>
    </row>
    <row r="59" customFormat="false" ht="14.25" hidden="false" customHeight="true" outlineLevel="0" collapsed="false">
      <c r="A59" s="40" t="s">
        <v>158</v>
      </c>
      <c r="B59" s="46" t="n">
        <f aca="false">B58/B7</f>
        <v>3.19</v>
      </c>
      <c r="C59" s="40"/>
    </row>
    <row r="60" customFormat="false" ht="14.25" hidden="false" customHeight="true" outlineLevel="0" collapsed="false">
      <c r="A60" s="40"/>
      <c r="B60" s="40"/>
      <c r="C60" s="40"/>
    </row>
    <row r="61" customFormat="false" ht="186.75" hidden="false" customHeight="true" outlineLevel="0" collapsed="false">
      <c r="A61" s="42" t="s">
        <v>159</v>
      </c>
    </row>
    <row r="63" customFormat="false" ht="14.25" hidden="false" customHeight="true" outlineLevel="0" collapsed="false">
      <c r="A63" s="34" t="s">
        <v>160</v>
      </c>
    </row>
    <row r="64" customFormat="false" ht="14.25" hidden="false" customHeight="true" outlineLevel="0" collapsed="false">
      <c r="A64" s="35" t="s">
        <v>2</v>
      </c>
      <c r="B64" s="35" t="s">
        <v>87</v>
      </c>
      <c r="C64" s="35" t="s">
        <v>5</v>
      </c>
    </row>
    <row r="65" customFormat="false" ht="14.25" hidden="false" customHeight="true" outlineLevel="0" collapsed="false">
      <c r="A65" s="40" t="s">
        <v>161</v>
      </c>
      <c r="B65" s="47" t="n">
        <f aca="false">'Recurring Overhead'!B34</f>
        <v>8.32233333333333</v>
      </c>
      <c r="C65" s="50" t="s">
        <v>162</v>
      </c>
    </row>
    <row r="66" customFormat="false" ht="14.25" hidden="false" customHeight="true" outlineLevel="0" collapsed="false">
      <c r="A66" s="40" t="s">
        <v>163</v>
      </c>
      <c r="B66" s="45" t="n">
        <f aca="false">B65*B7</f>
        <v>8.32233333333333</v>
      </c>
    </row>
    <row r="68" customFormat="false" ht="14.25" hidden="false" customHeight="true" outlineLevel="0" collapsed="false">
      <c r="A68" s="43" t="s">
        <v>164</v>
      </c>
      <c r="B68" s="44" t="n">
        <f aca="false">B58+B66</f>
        <v>11.5123333333333</v>
      </c>
    </row>
    <row r="69" customFormat="false" ht="14.25" hidden="false" customHeight="true" outlineLevel="0" collapsed="false">
      <c r="A69" s="40" t="s">
        <v>165</v>
      </c>
      <c r="B69" s="46" t="n">
        <f aca="false">B68/B7</f>
        <v>11.5123333333333</v>
      </c>
    </row>
    <row r="71" customFormat="false" ht="14.25" hidden="false" customHeight="true" outlineLevel="0" collapsed="false">
      <c r="A71" s="51" t="s">
        <v>166</v>
      </c>
      <c r="B71" s="51"/>
      <c r="C71" s="51"/>
    </row>
  </sheetData>
  <mergeCells count="1">
    <mergeCell ref="A71:C7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0" width="46"/>
    <col collapsed="false" customWidth="true" hidden="false" outlineLevel="0" max="2" min="2" style="0" width="18"/>
    <col collapsed="false" customWidth="true" hidden="false" outlineLevel="0" max="3" min="3" style="0" width="30"/>
    <col collapsed="false" customWidth="true" hidden="false" outlineLevel="0" max="4" min="4" style="0" width="55"/>
  </cols>
  <sheetData>
    <row r="1" customFormat="false" ht="17.25" hidden="false" customHeight="true" outlineLevel="0" collapsed="false">
      <c r="A1" s="1" t="s">
        <v>205</v>
      </c>
    </row>
    <row r="2" customFormat="false" ht="14.25" hidden="false" customHeight="false" outlineLevel="0" collapsed="false">
      <c r="A2" s="24" t="s">
        <v>206</v>
      </c>
      <c r="B2" s="24"/>
      <c r="C2" s="24"/>
      <c r="D2" s="24"/>
    </row>
    <row r="4" customFormat="false" ht="14.25" hidden="false" customHeight="false" outlineLevel="0" collapsed="false">
      <c r="A4" s="11" t="s">
        <v>207</v>
      </c>
    </row>
    <row r="5" customFormat="false" ht="14.25" hidden="false" customHeight="false" outlineLevel="0" collapsed="false">
      <c r="A5" s="15" t="s">
        <v>2</v>
      </c>
      <c r="B5" s="15" t="s">
        <v>208</v>
      </c>
      <c r="C5" s="15" t="s">
        <v>4</v>
      </c>
      <c r="D5" s="15" t="s">
        <v>5</v>
      </c>
      <c r="E5" s="15" t="s">
        <v>209</v>
      </c>
    </row>
    <row r="6" customFormat="false" ht="16.5" hidden="false" customHeight="true" outlineLevel="0" collapsed="false">
      <c r="A6" s="53" t="s">
        <v>210</v>
      </c>
      <c r="B6" s="17" t="n">
        <v>8.9</v>
      </c>
      <c r="C6" s="18" t="s">
        <v>211</v>
      </c>
      <c r="D6" s="2" t="s">
        <v>212</v>
      </c>
      <c r="E6" s="7" t="n">
        <f aca="false">B6*12</f>
        <v>106.8</v>
      </c>
    </row>
    <row r="7" customFormat="false" ht="14.25" hidden="false" customHeight="false" outlineLevel="0" collapsed="false">
      <c r="A7" s="54" t="s">
        <v>213</v>
      </c>
      <c r="B7" s="17" t="n">
        <v>14.09</v>
      </c>
      <c r="C7" s="18" t="s">
        <v>211</v>
      </c>
      <c r="D7" s="2" t="s">
        <v>214</v>
      </c>
      <c r="E7" s="7" t="n">
        <f aca="false">B7*12</f>
        <v>169.08</v>
      </c>
    </row>
    <row r="8" customFormat="false" ht="14.25" hidden="false" customHeight="false" outlineLevel="0" collapsed="false">
      <c r="A8" s="18" t="s">
        <v>215</v>
      </c>
      <c r="B8" s="17" t="n">
        <v>32.4</v>
      </c>
      <c r="C8" s="18" t="s">
        <v>216</v>
      </c>
      <c r="D8" s="2" t="s">
        <v>217</v>
      </c>
      <c r="E8" s="7" t="n">
        <f aca="false">B8*12</f>
        <v>388.8</v>
      </c>
    </row>
    <row r="9" customFormat="false" ht="14.25" hidden="false" customHeight="false" outlineLevel="0" collapsed="false">
      <c r="A9" s="18" t="s">
        <v>218</v>
      </c>
      <c r="B9" s="17" t="n">
        <v>7</v>
      </c>
      <c r="C9" s="18" t="s">
        <v>216</v>
      </c>
      <c r="D9" s="2" t="s">
        <v>219</v>
      </c>
      <c r="E9" s="7" t="n">
        <f aca="false">B9*12</f>
        <v>84</v>
      </c>
    </row>
    <row r="10" customFormat="false" ht="14.25" hidden="false" customHeight="false" outlineLevel="0" collapsed="false">
      <c r="A10" s="18" t="s">
        <v>220</v>
      </c>
      <c r="B10" s="29" t="n">
        <f aca="false">E10/12</f>
        <v>20.8333333333333</v>
      </c>
      <c r="C10" s="18" t="s">
        <v>216</v>
      </c>
      <c r="D10" s="2" t="s">
        <v>221</v>
      </c>
      <c r="E10" s="55" t="n">
        <v>250</v>
      </c>
    </row>
    <row r="11" customFormat="false" ht="14.25" hidden="false" customHeight="false" outlineLevel="0" collapsed="false">
      <c r="A11" s="18" t="s">
        <v>222</v>
      </c>
      <c r="B11" s="17" t="n">
        <v>0</v>
      </c>
      <c r="C11" s="18" t="s">
        <v>216</v>
      </c>
      <c r="D11" s="2" t="s">
        <v>223</v>
      </c>
      <c r="E11" s="7" t="n">
        <f aca="false">B11*12</f>
        <v>0</v>
      </c>
    </row>
    <row r="12" customFormat="false" ht="14.25" hidden="false" customHeight="false" outlineLevel="0" collapsed="false">
      <c r="A12" s="20" t="s">
        <v>224</v>
      </c>
      <c r="B12" s="21" t="n">
        <f aca="false">SUM(B6:B11)</f>
        <v>83.2233333333333</v>
      </c>
      <c r="E12" s="7" t="n">
        <f aca="false">SUM(E6:E11)</f>
        <v>998.68</v>
      </c>
    </row>
    <row r="14" customFormat="false" ht="14.25" hidden="false" customHeight="false" outlineLevel="0" collapsed="false">
      <c r="A14" s="11" t="s">
        <v>225</v>
      </c>
    </row>
    <row r="15" customFormat="false" ht="14.25" hidden="false" customHeight="false" outlineLevel="0" collapsed="false">
      <c r="A15" s="24" t="s">
        <v>226</v>
      </c>
      <c r="B15" s="24"/>
      <c r="C15" s="24"/>
      <c r="D15" s="24"/>
    </row>
    <row r="17" customFormat="false" ht="14.25" hidden="false" customHeight="false" outlineLevel="0" collapsed="false">
      <c r="A17" s="15" t="s">
        <v>227</v>
      </c>
      <c r="B17" s="15" t="s">
        <v>228</v>
      </c>
      <c r="C17" s="15" t="s">
        <v>229</v>
      </c>
      <c r="D17" s="15" t="s">
        <v>230</v>
      </c>
    </row>
    <row r="18" customFormat="false" ht="14.25" hidden="false" customHeight="false" outlineLevel="0" collapsed="false">
      <c r="A18" s="18" t="s">
        <v>231</v>
      </c>
      <c r="B18" s="56" t="n">
        <v>10</v>
      </c>
      <c r="C18" s="18" t="s">
        <v>232</v>
      </c>
      <c r="D18" s="2" t="s">
        <v>233</v>
      </c>
    </row>
    <row r="19" customFormat="false" ht="14.25" hidden="false" customHeight="false" outlineLevel="0" collapsed="false">
      <c r="A19" s="18" t="s">
        <v>234</v>
      </c>
      <c r="B19" s="56" t="n">
        <v>40</v>
      </c>
      <c r="C19" s="18" t="s">
        <v>235</v>
      </c>
      <c r="D19" s="2" t="s">
        <v>236</v>
      </c>
    </row>
    <row r="20" customFormat="false" ht="14.25" hidden="false" customHeight="false" outlineLevel="0" collapsed="false">
      <c r="A20" s="18" t="s">
        <v>237</v>
      </c>
      <c r="B20" s="57" t="n">
        <f aca="false">B23</f>
        <v>115.466666666667</v>
      </c>
      <c r="C20" s="18" t="s">
        <v>238</v>
      </c>
      <c r="D20" s="2" t="s">
        <v>239</v>
      </c>
    </row>
    <row r="22" customFormat="false" ht="14.25" hidden="false" customHeight="false" outlineLevel="0" collapsed="false">
      <c r="A22" s="18" t="s">
        <v>240</v>
      </c>
      <c r="B22" s="58" t="n">
        <v>1</v>
      </c>
      <c r="D22" s="2" t="s">
        <v>241</v>
      </c>
    </row>
    <row r="23" customFormat="false" ht="14.25" hidden="false" customHeight="false" outlineLevel="0" collapsed="false">
      <c r="A23" s="18" t="s">
        <v>242</v>
      </c>
      <c r="B23" s="57" t="n">
        <f aca="false">IFERROR(B22*4.33/(45/60)*20,0)</f>
        <v>115.466666666667</v>
      </c>
      <c r="D23" s="2" t="s">
        <v>243</v>
      </c>
    </row>
    <row r="25" customFormat="false" ht="14.25" hidden="false" customHeight="false" outlineLevel="0" collapsed="false">
      <c r="A25" s="11" t="s">
        <v>244</v>
      </c>
    </row>
    <row r="26" customFormat="false" ht="14.25" hidden="false" customHeight="false" outlineLevel="0" collapsed="false">
      <c r="A26" s="15" t="s">
        <v>227</v>
      </c>
      <c r="B26" s="15" t="s">
        <v>245</v>
      </c>
    </row>
    <row r="27" customFormat="false" ht="14.25" hidden="false" customHeight="false" outlineLevel="0" collapsed="false">
      <c r="A27" s="18" t="s">
        <v>231</v>
      </c>
      <c r="B27" s="29" t="n">
        <f aca="false">IFERROR($B$12/B18,0)</f>
        <v>8.32233333333333</v>
      </c>
    </row>
    <row r="28" customFormat="false" ht="14.25" hidden="false" customHeight="false" outlineLevel="0" collapsed="false">
      <c r="A28" s="18" t="s">
        <v>234</v>
      </c>
      <c r="B28" s="29" t="n">
        <f aca="false">IFERROR($B$12/B19,0)</f>
        <v>2.08058333333333</v>
      </c>
    </row>
    <row r="29" customFormat="false" ht="14.25" hidden="false" customHeight="false" outlineLevel="0" collapsed="false">
      <c r="A29" s="18" t="s">
        <v>237</v>
      </c>
      <c r="B29" s="29" t="n">
        <f aca="false">IFERROR($B$12/B20,0)</f>
        <v>0.720756351039261</v>
      </c>
    </row>
    <row r="31" customFormat="false" ht="14.25" hidden="false" customHeight="false" outlineLevel="0" collapsed="false">
      <c r="A31" s="11" t="s">
        <v>246</v>
      </c>
    </row>
    <row r="32" customFormat="false" ht="14.25" hidden="false" customHeight="false" outlineLevel="0" collapsed="false">
      <c r="A32" s="18" t="s">
        <v>247</v>
      </c>
      <c r="B32" s="59" t="s">
        <v>231</v>
      </c>
      <c r="D32" s="2" t="s">
        <v>248</v>
      </c>
    </row>
    <row r="33" customFormat="false" ht="14.25" hidden="false" customHeight="false" outlineLevel="0" collapsed="false">
      <c r="A33" s="18" t="s">
        <v>249</v>
      </c>
      <c r="B33" s="57" t="n">
        <f aca="false">INDEX(B18:B20,MATCH(B32,A18:A20,0))</f>
        <v>10</v>
      </c>
    </row>
    <row r="34" customFormat="false" ht="14.25" hidden="false" customHeight="false" outlineLevel="0" collapsed="false">
      <c r="A34" s="20" t="s">
        <v>250</v>
      </c>
      <c r="B34" s="21" t="n">
        <f aca="false">IFERROR($B$12/B33,0)</f>
        <v>8.32233333333333</v>
      </c>
    </row>
  </sheetData>
  <mergeCells count="2">
    <mergeCell ref="A2:D2"/>
    <mergeCell ref="A15:D15"/>
  </mergeCells>
  <dataValidations count="1">
    <dataValidation allowBlank="false" errorStyle="stop" operator="between" showDropDown="false" showErrorMessage="false" showInputMessage="false" sqref="B32" type="list">
      <formula1>"Conservative,Base / Target,Optimistic / Capacity ceiling"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N9" activeCellId="0" sqref="N9"/>
    </sheetView>
  </sheetViews>
  <sheetFormatPr defaultColWidth="8.66796875" defaultRowHeight="14.25" zeroHeight="false" outlineLevelRow="0" outlineLevelCol="0"/>
  <cols>
    <col collapsed="false" customWidth="true" hidden="false" outlineLevel="0" max="1" min="1" style="0" width="9.67"/>
    <col collapsed="false" customWidth="true" hidden="false" outlineLevel="0" max="5" min="5" style="0" width="12.11"/>
    <col collapsed="false" customWidth="true" hidden="false" outlineLevel="0" max="9" min="9" style="0" width="9.67"/>
  </cols>
  <sheetData>
    <row r="1" customFormat="false" ht="14.25" hidden="false" customHeight="true" outlineLevel="0" collapsed="false">
      <c r="A1" s="0" t="s">
        <v>251</v>
      </c>
      <c r="B1" s="0" t="s">
        <v>41</v>
      </c>
      <c r="C1" s="0" t="s">
        <v>252</v>
      </c>
      <c r="D1" s="0" t="s">
        <v>253</v>
      </c>
      <c r="E1" s="0" t="s">
        <v>254</v>
      </c>
      <c r="I1" s="0" t="s">
        <v>255</v>
      </c>
      <c r="J1" s="0" t="s">
        <v>41</v>
      </c>
      <c r="K1" s="0" t="s">
        <v>255</v>
      </c>
      <c r="L1" s="0" t="s">
        <v>256</v>
      </c>
      <c r="M1" s="0" t="s">
        <v>257</v>
      </c>
    </row>
    <row r="2" customFormat="false" ht="14.25" hidden="false" customHeight="true" outlineLevel="0" collapsed="false">
      <c r="A2" s="0" t="s">
        <v>16</v>
      </c>
      <c r="I2" s="0" t="s">
        <v>16</v>
      </c>
    </row>
    <row r="3" customFormat="false" ht="14.25" hidden="false" customHeight="true" outlineLevel="0" collapsed="false">
      <c r="A3" s="0" t="s">
        <v>258</v>
      </c>
      <c r="B3" s="0" t="n">
        <v>10</v>
      </c>
      <c r="C3" s="0" t="n">
        <v>6.5</v>
      </c>
      <c r="E3" s="0" t="n">
        <f aca="false">C3/B3</f>
        <v>0.65</v>
      </c>
      <c r="I3" s="0" t="s">
        <v>258</v>
      </c>
      <c r="J3" s="0" t="n">
        <v>25</v>
      </c>
      <c r="K3" s="0" t="n">
        <f aca="false">C4+C14</f>
        <v>25.9</v>
      </c>
      <c r="L3" s="0" t="n">
        <f aca="false">K3/J3</f>
        <v>1.036</v>
      </c>
    </row>
    <row r="4" customFormat="false" ht="14.25" hidden="false" customHeight="true" outlineLevel="0" collapsed="false">
      <c r="A4" s="0" t="s">
        <v>258</v>
      </c>
      <c r="B4" s="0" t="n">
        <v>25</v>
      </c>
      <c r="C4" s="0" t="n">
        <v>13.25</v>
      </c>
      <c r="E4" s="0" t="n">
        <f aca="false">C4/B4</f>
        <v>0.53</v>
      </c>
      <c r="I4" s="0" t="s">
        <v>258</v>
      </c>
      <c r="J4" s="0" t="n">
        <v>50</v>
      </c>
      <c r="K4" s="0" t="n">
        <f aca="false">C5+C15</f>
        <v>46.15</v>
      </c>
      <c r="L4" s="0" t="n">
        <f aca="false">K4/J4</f>
        <v>0.923</v>
      </c>
      <c r="M4" s="0" t="n">
        <f aca="false">L3-L4</f>
        <v>0.113</v>
      </c>
    </row>
    <row r="5" customFormat="false" ht="14.25" hidden="false" customHeight="true" outlineLevel="0" collapsed="false">
      <c r="A5" s="0" t="s">
        <v>258</v>
      </c>
      <c r="B5" s="0" t="n">
        <v>50</v>
      </c>
      <c r="C5" s="0" t="n">
        <v>22.5</v>
      </c>
      <c r="E5" s="0" t="n">
        <f aca="false">C5/B5</f>
        <v>0.45</v>
      </c>
      <c r="I5" s="0" t="s">
        <v>258</v>
      </c>
      <c r="J5" s="0" t="n">
        <v>100</v>
      </c>
      <c r="K5" s="0" t="n">
        <f aca="false">C6+C16</f>
        <v>87</v>
      </c>
      <c r="L5" s="60" t="n">
        <f aca="false">K5/J5</f>
        <v>0.87</v>
      </c>
      <c r="M5" s="7" t="n">
        <f aca="false">L4-L5</f>
        <v>0.0529999999999999</v>
      </c>
    </row>
    <row r="6" customFormat="false" ht="14.25" hidden="false" customHeight="true" outlineLevel="0" collapsed="false">
      <c r="A6" s="0" t="s">
        <v>258</v>
      </c>
      <c r="B6" s="0" t="n">
        <v>100</v>
      </c>
      <c r="C6" s="0" t="n">
        <v>43</v>
      </c>
      <c r="E6" s="0" t="n">
        <f aca="false">C6/B6</f>
        <v>0.43</v>
      </c>
      <c r="I6" s="0" t="s">
        <v>258</v>
      </c>
      <c r="J6" s="0" t="n">
        <v>200</v>
      </c>
      <c r="K6" s="0" t="n">
        <f aca="false">C7+C17</f>
        <v>165.5</v>
      </c>
      <c r="L6" s="0" t="n">
        <f aca="false">K6/J6</f>
        <v>0.8275</v>
      </c>
      <c r="M6" s="0" t="n">
        <f aca="false">L5-L6</f>
        <v>0.0425</v>
      </c>
    </row>
    <row r="7" customFormat="false" ht="14.25" hidden="false" customHeight="true" outlineLevel="0" collapsed="false">
      <c r="A7" s="0" t="s">
        <v>258</v>
      </c>
      <c r="B7" s="0" t="n">
        <v>200</v>
      </c>
      <c r="C7" s="0" t="n">
        <v>80</v>
      </c>
      <c r="E7" s="0" t="n">
        <f aca="false">C7/B7</f>
        <v>0.4</v>
      </c>
      <c r="I7" s="0" t="s">
        <v>258</v>
      </c>
      <c r="J7" s="0" t="n">
        <v>500</v>
      </c>
      <c r="K7" s="0" t="n">
        <f aca="false">C8+C18</f>
        <v>384</v>
      </c>
      <c r="L7" s="0" t="n">
        <f aca="false">K7/J7</f>
        <v>0.768</v>
      </c>
      <c r="M7" s="0" t="n">
        <f aca="false">L6-L7</f>
        <v>0.0595</v>
      </c>
    </row>
    <row r="8" customFormat="false" ht="14.25" hidden="false" customHeight="true" outlineLevel="0" collapsed="false">
      <c r="A8" s="0" t="s">
        <v>258</v>
      </c>
      <c r="B8" s="0" t="n">
        <v>500</v>
      </c>
      <c r="C8" s="0" t="n">
        <v>175</v>
      </c>
      <c r="E8" s="0" t="n">
        <f aca="false">C8/B8</f>
        <v>0.35</v>
      </c>
      <c r="I8" s="0" t="s">
        <v>259</v>
      </c>
      <c r="J8" s="0" t="n">
        <v>25</v>
      </c>
      <c r="K8" s="0" t="n">
        <f aca="false">C10+C14</f>
        <v>28.9</v>
      </c>
      <c r="L8" s="0" t="n">
        <f aca="false">K8/J8</f>
        <v>1.156</v>
      </c>
      <c r="M8" s="0" t="n">
        <f aca="false">L7-L8</f>
        <v>-0.388</v>
      </c>
    </row>
    <row r="9" customFormat="false" ht="14.25" hidden="false" customHeight="true" outlineLevel="0" collapsed="false">
      <c r="A9" s="0" t="s">
        <v>259</v>
      </c>
      <c r="B9" s="0" t="n">
        <v>10</v>
      </c>
      <c r="C9" s="0" t="n">
        <v>7.5</v>
      </c>
      <c r="E9" s="0" t="n">
        <f aca="false">C9/B9</f>
        <v>0.75</v>
      </c>
      <c r="I9" s="0" t="s">
        <v>259</v>
      </c>
      <c r="J9" s="0" t="n">
        <v>50</v>
      </c>
      <c r="K9" s="0" t="n">
        <f aca="false">C11+C15</f>
        <v>51.15</v>
      </c>
      <c r="L9" s="0" t="n">
        <f aca="false">K9/J9</f>
        <v>1.023</v>
      </c>
      <c r="M9" s="0" t="n">
        <f aca="false">L8-L9</f>
        <v>0.133</v>
      </c>
    </row>
    <row r="10" customFormat="false" ht="14.25" hidden="false" customHeight="true" outlineLevel="0" collapsed="false">
      <c r="B10" s="0" t="n">
        <v>25</v>
      </c>
      <c r="C10" s="0" t="n">
        <v>16.25</v>
      </c>
      <c r="E10" s="0" t="n">
        <f aca="false">C10/B10</f>
        <v>0.65</v>
      </c>
      <c r="I10" s="0" t="s">
        <v>259</v>
      </c>
      <c r="J10" s="0" t="n">
        <v>100</v>
      </c>
      <c r="K10" s="0" t="n">
        <f aca="false">C12+C16</f>
        <v>92</v>
      </c>
      <c r="L10" s="60" t="n">
        <f aca="false">K10/J10</f>
        <v>0.92</v>
      </c>
      <c r="M10" s="7" t="n">
        <f aca="false">L9-L10</f>
        <v>0.103</v>
      </c>
    </row>
    <row r="11" customFormat="false" ht="14.25" hidden="false" customHeight="true" outlineLevel="0" collapsed="false">
      <c r="B11" s="0" t="n">
        <v>50</v>
      </c>
      <c r="C11" s="0" t="n">
        <v>27.5</v>
      </c>
      <c r="E11" s="0" t="n">
        <f aca="false">C11/B11</f>
        <v>0.55</v>
      </c>
      <c r="I11" s="0" t="s">
        <v>259</v>
      </c>
      <c r="J11" s="0" t="n">
        <v>200</v>
      </c>
      <c r="K11" s="0" t="n">
        <f aca="false">2*C12+C17</f>
        <v>181.5</v>
      </c>
      <c r="L11" s="0" t="n">
        <f aca="false">K11/J11</f>
        <v>0.9075</v>
      </c>
      <c r="M11" s="0" t="n">
        <f aca="false">L10-L11</f>
        <v>0.0125000000000001</v>
      </c>
    </row>
    <row r="12" customFormat="false" ht="14.25" hidden="false" customHeight="true" outlineLevel="0" collapsed="false">
      <c r="B12" s="0" t="n">
        <v>100</v>
      </c>
      <c r="C12" s="0" t="n">
        <v>48</v>
      </c>
      <c r="E12" s="0" t="n">
        <f aca="false">C12/B12</f>
        <v>0.48</v>
      </c>
      <c r="I12" s="0" t="s">
        <v>259</v>
      </c>
      <c r="J12" s="0" t="n">
        <v>500</v>
      </c>
      <c r="K12" s="0" t="n">
        <f aca="false">5*C12+C18</f>
        <v>449</v>
      </c>
      <c r="L12" s="0" t="n">
        <f aca="false">K12/J12</f>
        <v>0.898</v>
      </c>
      <c r="M12" s="0" t="n">
        <f aca="false">L11-L12</f>
        <v>0.00949999999999995</v>
      </c>
    </row>
    <row r="13" customFormat="false" ht="14.25" hidden="false" customHeight="true" outlineLevel="0" collapsed="false">
      <c r="A13" s="0" t="s">
        <v>260</v>
      </c>
      <c r="B13" s="0" t="n">
        <v>10</v>
      </c>
      <c r="C13" s="0" t="n">
        <v>5.5</v>
      </c>
      <c r="E13" s="0" t="n">
        <f aca="false">C13/B13</f>
        <v>0.55</v>
      </c>
      <c r="I13" s="0" t="s">
        <v>261</v>
      </c>
      <c r="J13" s="0" t="n">
        <v>20</v>
      </c>
      <c r="K13" s="0" t="n">
        <f aca="false">C20+C22</f>
        <v>13</v>
      </c>
      <c r="L13" s="0" t="n">
        <f aca="false">K13/J13</f>
        <v>0.65</v>
      </c>
    </row>
    <row r="14" customFormat="false" ht="14.25" hidden="false" customHeight="true" outlineLevel="0" collapsed="false">
      <c r="B14" s="0" t="n">
        <v>25</v>
      </c>
      <c r="C14" s="0" t="n">
        <v>12.65</v>
      </c>
      <c r="E14" s="0" t="n">
        <f aca="false">C14/B14</f>
        <v>0.506</v>
      </c>
      <c r="I14" s="0" t="s">
        <v>261</v>
      </c>
      <c r="J14" s="0" t="n">
        <v>60</v>
      </c>
      <c r="K14" s="0" t="n">
        <f aca="false">K13*3</f>
        <v>39</v>
      </c>
      <c r="L14" s="0" t="n">
        <f aca="false">K14/J14</f>
        <v>0.65</v>
      </c>
    </row>
    <row r="15" customFormat="false" ht="14.25" hidden="false" customHeight="true" outlineLevel="0" collapsed="false">
      <c r="B15" s="0" t="n">
        <v>50</v>
      </c>
      <c r="C15" s="0" t="n">
        <v>23.65</v>
      </c>
      <c r="E15" s="0" t="n">
        <f aca="false">C15/B15</f>
        <v>0.473</v>
      </c>
      <c r="I15" s="0" t="s">
        <v>261</v>
      </c>
      <c r="J15" s="0" t="n">
        <v>100</v>
      </c>
      <c r="K15" s="0" t="n">
        <f aca="false">K13*5</f>
        <v>65</v>
      </c>
      <c r="L15" s="60" t="n">
        <f aca="false">K15/J15</f>
        <v>0.65</v>
      </c>
    </row>
    <row r="16" customFormat="false" ht="14.25" hidden="false" customHeight="true" outlineLevel="0" collapsed="false">
      <c r="B16" s="0" t="n">
        <v>100</v>
      </c>
      <c r="C16" s="0" t="n">
        <v>44</v>
      </c>
      <c r="E16" s="0" t="n">
        <f aca="false">C16/B16</f>
        <v>0.44</v>
      </c>
    </row>
    <row r="17" customFormat="false" ht="14.25" hidden="false" customHeight="true" outlineLevel="0" collapsed="false">
      <c r="B17" s="0" t="n">
        <v>200</v>
      </c>
      <c r="C17" s="0" t="n">
        <v>85.5</v>
      </c>
      <c r="E17" s="0" t="n">
        <f aca="false">C17/B17</f>
        <v>0.4275</v>
      </c>
    </row>
    <row r="18" customFormat="false" ht="14.25" hidden="false" customHeight="true" outlineLevel="0" collapsed="false">
      <c r="B18" s="0" t="n">
        <v>500</v>
      </c>
      <c r="C18" s="0" t="n">
        <v>209</v>
      </c>
      <c r="E18" s="0" t="n">
        <f aca="false">C18/B18</f>
        <v>0.418</v>
      </c>
    </row>
    <row r="19" customFormat="false" ht="14.25" hidden="false" customHeight="true" outlineLevel="0" collapsed="false">
      <c r="A19" s="0" t="s">
        <v>261</v>
      </c>
    </row>
    <row r="20" customFormat="false" ht="14.25" hidden="false" customHeight="true" outlineLevel="0" collapsed="false">
      <c r="A20" s="0" t="s">
        <v>258</v>
      </c>
      <c r="B20" s="0" t="n">
        <v>20</v>
      </c>
      <c r="C20" s="0" t="n">
        <v>6.5</v>
      </c>
      <c r="E20" s="0" t="n">
        <f aca="false">C20/B20</f>
        <v>0.325</v>
      </c>
    </row>
    <row r="21" customFormat="false" ht="14.25" hidden="false" customHeight="true" outlineLevel="0" collapsed="false">
      <c r="A21" s="0" t="s">
        <v>259</v>
      </c>
      <c r="B21" s="0" t="n">
        <v>20</v>
      </c>
      <c r="C21" s="0" t="n">
        <v>6.5</v>
      </c>
      <c r="E21" s="0" t="n">
        <f aca="false">C21/B21</f>
        <v>0.325</v>
      </c>
    </row>
    <row r="22" customFormat="false" ht="14.25" hidden="false" customHeight="true" outlineLevel="0" collapsed="false">
      <c r="A22" s="0" t="s">
        <v>260</v>
      </c>
      <c r="B22" s="0" t="n">
        <v>20</v>
      </c>
      <c r="C22" s="0" t="n">
        <v>6.5</v>
      </c>
      <c r="E22" s="0" t="n">
        <f aca="false">C22/B22</f>
        <v>0.325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5" activeCellId="0" sqref="B15"/>
    </sheetView>
  </sheetViews>
  <sheetFormatPr defaultColWidth="8.66796875" defaultRowHeight="14.25" zeroHeight="false" outlineLevelRow="0" outlineLevelCol="0"/>
  <cols>
    <col collapsed="false" customWidth="true" hidden="false" outlineLevel="0" max="1" min="1" style="0" width="77.21"/>
    <col collapsed="false" customWidth="true" hidden="false" outlineLevel="0" max="5" min="2" style="0" width="18"/>
  </cols>
  <sheetData>
    <row r="1" customFormat="false" ht="14.25" hidden="false" customHeight="true" outlineLevel="0" collapsed="false">
      <c r="A1" s="61" t="s">
        <v>262</v>
      </c>
    </row>
    <row r="2" customFormat="false" ht="14.25" hidden="false" customHeight="true" outlineLevel="0" collapsed="false">
      <c r="A2" s="62" t="s">
        <v>263</v>
      </c>
    </row>
    <row r="4" customFormat="false" ht="14.25" hidden="false" customHeight="true" outlineLevel="0" collapsed="false">
      <c r="A4" s="63" t="s">
        <v>2</v>
      </c>
      <c r="B4" s="63" t="s">
        <v>87</v>
      </c>
      <c r="C4" s="63" t="s">
        <v>5</v>
      </c>
    </row>
    <row r="5" customFormat="false" ht="14.25" hidden="false" customHeight="true" outlineLevel="0" collapsed="false">
      <c r="A5" s="64" t="s">
        <v>264</v>
      </c>
      <c r="B5" s="65" t="n">
        <v>4</v>
      </c>
      <c r="C5" s="62" t="s">
        <v>265</v>
      </c>
    </row>
    <row r="6" customFormat="false" ht="14.25" hidden="false" customHeight="true" outlineLevel="0" collapsed="false">
      <c r="A6" s="64" t="s">
        <v>266</v>
      </c>
      <c r="B6" s="66" t="n">
        <v>0.04</v>
      </c>
      <c r="C6" s="62" t="s">
        <v>267</v>
      </c>
    </row>
    <row r="7" customFormat="false" ht="14.25" hidden="false" customHeight="true" outlineLevel="0" collapsed="false">
      <c r="A7" s="64" t="s">
        <v>268</v>
      </c>
      <c r="B7" s="66" t="n">
        <v>0.128</v>
      </c>
      <c r="C7" s="62" t="s">
        <v>269</v>
      </c>
    </row>
    <row r="8" customFormat="false" ht="14.25" hidden="false" customHeight="true" outlineLevel="0" collapsed="false">
      <c r="A8" s="64" t="s">
        <v>270</v>
      </c>
      <c r="B8" s="65" t="n">
        <v>0.3</v>
      </c>
      <c r="C8" s="62" t="s">
        <v>271</v>
      </c>
    </row>
    <row r="9" customFormat="false" ht="14.25" hidden="false" customHeight="true" outlineLevel="0" collapsed="false">
      <c r="A9" s="64" t="s">
        <v>272</v>
      </c>
      <c r="B9" s="66" t="n">
        <v>0.004</v>
      </c>
      <c r="C9" s="62" t="s">
        <v>273</v>
      </c>
    </row>
    <row r="11" customFormat="false" ht="14.25" hidden="false" customHeight="true" outlineLevel="0" collapsed="false">
      <c r="A11" s="61" t="s">
        <v>274</v>
      </c>
    </row>
    <row r="12" customFormat="false" ht="14.25" hidden="false" customHeight="true" outlineLevel="0" collapsed="false">
      <c r="A12" s="64" t="s">
        <v>275</v>
      </c>
      <c r="B12" s="67" t="n">
        <f aca="false">B6*B5</f>
        <v>0.16</v>
      </c>
    </row>
    <row r="13" customFormat="false" ht="14.25" hidden="false" customHeight="true" outlineLevel="0" collapsed="false">
      <c r="A13" s="64" t="s">
        <v>276</v>
      </c>
      <c r="B13" s="67" t="n">
        <f aca="false">B7*B5</f>
        <v>0.512</v>
      </c>
    </row>
    <row r="14" customFormat="false" ht="14.25" hidden="false" customHeight="true" outlineLevel="0" collapsed="false">
      <c r="A14" s="64" t="s">
        <v>277</v>
      </c>
      <c r="B14" s="67" t="n">
        <f aca="false">B9*B5</f>
        <v>0.016</v>
      </c>
    </row>
    <row r="15" customFormat="false" ht="14.25" hidden="false" customHeight="true" outlineLevel="0" collapsed="false">
      <c r="A15" s="64" t="s">
        <v>278</v>
      </c>
      <c r="B15" s="67" t="n">
        <f aca="false">SUM(B12:B14)+B8</f>
        <v>0.988</v>
      </c>
    </row>
    <row r="16" customFormat="false" ht="14.25" hidden="false" customHeight="true" outlineLevel="0" collapsed="false">
      <c r="A16" s="64" t="s">
        <v>279</v>
      </c>
      <c r="B16" s="67" t="n">
        <f aca="false">B5-B15</f>
        <v>3.012</v>
      </c>
    </row>
    <row r="17" customFormat="false" ht="14.25" hidden="false" customHeight="true" outlineLevel="0" collapsed="false">
      <c r="A17" s="64" t="s">
        <v>280</v>
      </c>
      <c r="B17" s="68" t="n">
        <f aca="false">B15/B5</f>
        <v>0.247</v>
      </c>
    </row>
    <row r="19" customFormat="false" ht="14.25" hidden="false" customHeight="true" outlineLevel="0" collapsed="false">
      <c r="A19" s="61" t="s">
        <v>281</v>
      </c>
    </row>
    <row r="20" customFormat="false" ht="14.25" hidden="false" customHeight="true" outlineLevel="0" collapsed="false">
      <c r="A20" s="64" t="s">
        <v>282</v>
      </c>
      <c r="B20" s="69" t="n">
        <f aca="false">'Recurring Overhead'!B33</f>
        <v>10</v>
      </c>
    </row>
    <row r="21" customFormat="false" ht="14.25" hidden="false" customHeight="true" outlineLevel="0" collapsed="false">
      <c r="A21" s="64" t="s">
        <v>283</v>
      </c>
      <c r="B21" s="67" t="n">
        <f aca="false">B12*B20</f>
        <v>1.6</v>
      </c>
    </row>
    <row r="22" customFormat="false" ht="14.25" hidden="false" customHeight="true" outlineLevel="0" collapsed="false">
      <c r="A22" s="64" t="s">
        <v>284</v>
      </c>
      <c r="B22" s="67" t="n">
        <f aca="false">B15*B20</f>
        <v>9.88</v>
      </c>
    </row>
    <row r="24" customFormat="false" ht="14.25" hidden="false" customHeight="true" outlineLevel="0" collapsed="false">
      <c r="A24" s="62" t="s">
        <v>285</v>
      </c>
    </row>
    <row r="26" customFormat="false" ht="14.25" hidden="false" customHeight="false" outlineLevel="0" collapsed="false">
      <c r="A26" s="0" t="s">
        <v>286</v>
      </c>
    </row>
    <row r="27" customFormat="false" ht="14.25" hidden="false" customHeight="false" outlineLevel="0" collapsed="false">
      <c r="A27" s="63" t="s">
        <v>2</v>
      </c>
      <c r="B27" s="63" t="s">
        <v>287</v>
      </c>
      <c r="C27" s="63" t="s">
        <v>288</v>
      </c>
      <c r="D27" s="63" t="s">
        <v>289</v>
      </c>
      <c r="E27" s="63" t="s">
        <v>290</v>
      </c>
    </row>
    <row r="28" customFormat="false" ht="14.25" hidden="false" customHeight="false" outlineLevel="0" collapsed="false">
      <c r="A28" s="0" t="s">
        <v>291</v>
      </c>
      <c r="B28" s="65" t="n">
        <v>3</v>
      </c>
      <c r="C28" s="67" t="n">
        <f aca="false">B28*($B$6+$B$7+$B$9)+$B$8</f>
        <v>0.816</v>
      </c>
      <c r="D28" s="67" t="n">
        <f aca="false">B28-C28</f>
        <v>2.184</v>
      </c>
      <c r="E28" s="68" t="n">
        <f aca="false">C28/B28</f>
        <v>0.272</v>
      </c>
    </row>
    <row r="29" customFormat="false" ht="14.25" hidden="false" customHeight="false" outlineLevel="0" collapsed="false">
      <c r="A29" s="0" t="s">
        <v>292</v>
      </c>
      <c r="B29" s="65" t="n">
        <v>4</v>
      </c>
      <c r="C29" s="67" t="n">
        <f aca="false">B29*($B$6+$B$7+$B$9)+$B$8</f>
        <v>0.988</v>
      </c>
      <c r="D29" s="67" t="n">
        <f aca="false">B29-C29</f>
        <v>3.012</v>
      </c>
      <c r="E29" s="68" t="n">
        <f aca="false">C29/B29</f>
        <v>0.247</v>
      </c>
    </row>
    <row r="30" customFormat="false" ht="14.25" hidden="false" customHeight="false" outlineLevel="0" collapsed="false">
      <c r="A30" s="0" t="s">
        <v>293</v>
      </c>
      <c r="B30" s="65" t="n">
        <v>5</v>
      </c>
      <c r="C30" s="67" t="n">
        <f aca="false">B30*($B$6+$B$7+$B$9)+$B$8</f>
        <v>1.16</v>
      </c>
      <c r="D30" s="67" t="n">
        <f aca="false">B30-C30</f>
        <v>3.84</v>
      </c>
      <c r="E30" s="68" t="n">
        <f aca="false">C30/B30</f>
        <v>0.232</v>
      </c>
    </row>
    <row r="31" customFormat="false" ht="14.25" hidden="false" customHeight="false" outlineLevel="0" collapsed="false">
      <c r="A31" s="0" t="s">
        <v>294</v>
      </c>
      <c r="B31" s="65" t="n">
        <v>6</v>
      </c>
      <c r="C31" s="67" t="n">
        <f aca="false">B31*($B$6+$B$7+$B$9)+$B$8</f>
        <v>1.332</v>
      </c>
      <c r="D31" s="67" t="n">
        <f aca="false">B31-C31</f>
        <v>4.668</v>
      </c>
      <c r="E31" s="68" t="n">
        <f aca="false">C31/B31</f>
        <v>0.222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3" activeCellId="0" sqref="H13"/>
    </sheetView>
  </sheetViews>
  <sheetFormatPr defaultColWidth="8.66796875" defaultRowHeight="14.25" zeroHeight="false" outlineLevelRow="0" outlineLevelCol="0"/>
  <sheetData>
    <row r="1" customFormat="false" ht="17.25" hidden="false" customHeight="true" outlineLevel="0" collapsed="false">
      <c r="A1" s="70" t="s">
        <v>295</v>
      </c>
    </row>
    <row r="2" customFormat="false" ht="14.25" hidden="false" customHeight="true" outlineLevel="0" collapsed="false">
      <c r="A2" s="62" t="s">
        <v>296</v>
      </c>
    </row>
    <row r="4" customFormat="false" ht="14.25" hidden="false" customHeight="true" outlineLevel="0" collapsed="false">
      <c r="A4" s="61" t="s">
        <v>297</v>
      </c>
    </row>
    <row r="5" customFormat="false" ht="14.25" hidden="false" customHeight="true" outlineLevel="0" collapsed="false">
      <c r="A5" s="63" t="s">
        <v>2</v>
      </c>
      <c r="B5" s="63" t="s">
        <v>87</v>
      </c>
      <c r="C5" s="63" t="s">
        <v>5</v>
      </c>
    </row>
    <row r="6" customFormat="false" ht="14.25" hidden="false" customHeight="true" outlineLevel="0" collapsed="false">
      <c r="A6" s="64" t="s">
        <v>298</v>
      </c>
      <c r="B6" s="65" t="n">
        <v>3</v>
      </c>
      <c r="C6" s="62" t="s">
        <v>299</v>
      </c>
    </row>
    <row r="7" customFormat="false" ht="14.25" hidden="false" customHeight="true" outlineLevel="0" collapsed="false">
      <c r="A7" s="64" t="s">
        <v>300</v>
      </c>
      <c r="B7" s="65" t="n">
        <v>0.16</v>
      </c>
      <c r="C7" s="62" t="s">
        <v>301</v>
      </c>
    </row>
    <row r="8" customFormat="false" ht="14.25" hidden="false" customHeight="true" outlineLevel="0" collapsed="false">
      <c r="A8" s="64" t="s">
        <v>302</v>
      </c>
      <c r="B8" s="66" t="n">
        <v>0.065</v>
      </c>
      <c r="C8" s="62" t="s">
        <v>303</v>
      </c>
    </row>
    <row r="9" customFormat="false" ht="14.25" hidden="false" customHeight="true" outlineLevel="0" collapsed="false">
      <c r="A9" s="64" t="s">
        <v>304</v>
      </c>
      <c r="B9" s="66" t="n">
        <v>0.04</v>
      </c>
      <c r="C9" s="62" t="s">
        <v>305</v>
      </c>
    </row>
    <row r="10" customFormat="false" ht="14.25" hidden="false" customHeight="true" outlineLevel="0" collapsed="false">
      <c r="A10" s="64" t="s">
        <v>306</v>
      </c>
      <c r="B10" s="65" t="n">
        <v>0.2</v>
      </c>
    </row>
    <row r="11" customFormat="false" ht="14.25" hidden="false" customHeight="true" outlineLevel="0" collapsed="false">
      <c r="A11" s="64" t="s">
        <v>307</v>
      </c>
      <c r="B11" s="66" t="n">
        <v>0.0032</v>
      </c>
      <c r="C11" s="62" t="s">
        <v>308</v>
      </c>
    </row>
    <row r="12" customFormat="false" ht="14.25" hidden="false" customHeight="true" outlineLevel="0" collapsed="false">
      <c r="A12" s="64" t="s">
        <v>309</v>
      </c>
      <c r="B12" s="66" t="n">
        <v>0.2</v>
      </c>
      <c r="C12" s="62" t="s">
        <v>310</v>
      </c>
    </row>
    <row r="13" customFormat="false" ht="14.25" hidden="false" customHeight="true" outlineLevel="0" collapsed="false">
      <c r="A13" s="64" t="s">
        <v>311</v>
      </c>
      <c r="B13" s="71" t="s">
        <v>312</v>
      </c>
      <c r="C13" s="62" t="s">
        <v>313</v>
      </c>
    </row>
    <row r="14" customFormat="false" ht="14.25" hidden="false" customHeight="true" outlineLevel="0" collapsed="false">
      <c r="A14" s="64" t="s">
        <v>314</v>
      </c>
      <c r="B14" s="66" t="n">
        <v>0.15</v>
      </c>
      <c r="C14" s="62" t="s">
        <v>315</v>
      </c>
    </row>
    <row r="15" customFormat="false" ht="14.25" hidden="false" customHeight="true" outlineLevel="0" collapsed="false">
      <c r="A15" s="64" t="s">
        <v>316</v>
      </c>
      <c r="B15" s="65" t="n">
        <v>1</v>
      </c>
      <c r="C15" s="62" t="s">
        <v>317</v>
      </c>
    </row>
    <row r="17" customFormat="false" ht="14.25" hidden="false" customHeight="true" outlineLevel="0" collapsed="false">
      <c r="A17" s="61" t="s">
        <v>318</v>
      </c>
    </row>
    <row r="18" customFormat="false" ht="14.25" hidden="false" customHeight="true" outlineLevel="0" collapsed="false">
      <c r="A18" s="64" t="s">
        <v>319</v>
      </c>
      <c r="B18" s="67" t="n">
        <f aca="false">B8*B6</f>
        <v>0.195</v>
      </c>
    </row>
    <row r="19" customFormat="false" ht="14.25" hidden="false" customHeight="true" outlineLevel="0" collapsed="false">
      <c r="A19" s="64" t="s">
        <v>320</v>
      </c>
      <c r="B19" s="67" t="n">
        <f aca="false">B9*B6+B10</f>
        <v>0.32</v>
      </c>
    </row>
    <row r="20" customFormat="false" ht="14.25" hidden="false" customHeight="true" outlineLevel="0" collapsed="false">
      <c r="A20" s="64" t="s">
        <v>321</v>
      </c>
      <c r="B20" s="67" t="n">
        <f aca="false">B11*B6</f>
        <v>0.0096</v>
      </c>
    </row>
    <row r="21" customFormat="false" ht="14.25" hidden="false" customHeight="true" outlineLevel="0" collapsed="false">
      <c r="A21" s="64" t="s">
        <v>322</v>
      </c>
      <c r="B21" s="67" t="n">
        <f aca="false">B7+B18+B19+B20</f>
        <v>0.6846</v>
      </c>
    </row>
    <row r="22" customFormat="false" ht="14.25" hidden="false" customHeight="true" outlineLevel="0" collapsed="false">
      <c r="A22" s="64" t="s">
        <v>323</v>
      </c>
      <c r="B22" s="67" t="n">
        <f aca="false">B21*B12</f>
        <v>0.13692</v>
      </c>
    </row>
    <row r="23" customFormat="false" ht="14.25" hidden="false" customHeight="true" outlineLevel="0" collapsed="false">
      <c r="A23" s="64" t="s">
        <v>324</v>
      </c>
      <c r="B23" s="67" t="n">
        <f aca="false">IF(B13="Y",B14*B6*(1+B12),0)</f>
        <v>0</v>
      </c>
    </row>
    <row r="24" customFormat="false" ht="14.25" hidden="false" customHeight="true" outlineLevel="0" collapsed="false">
      <c r="A24" s="64" t="s">
        <v>325</v>
      </c>
      <c r="B24" s="67" t="n">
        <f aca="false">B21+B22+B23</f>
        <v>0.82152</v>
      </c>
    </row>
    <row r="25" customFormat="false" ht="14.25" hidden="false" customHeight="true" outlineLevel="0" collapsed="false">
      <c r="A25" s="64" t="s">
        <v>326</v>
      </c>
      <c r="B25" s="67" t="n">
        <f aca="false">B6-B24</f>
        <v>2.17848</v>
      </c>
    </row>
    <row r="26" customFormat="false" ht="14.25" hidden="false" customHeight="true" outlineLevel="0" collapsed="false">
      <c r="A26" s="64" t="s">
        <v>327</v>
      </c>
      <c r="B26" s="68" t="n">
        <f aca="false">B24/B6</f>
        <v>0.27384</v>
      </c>
    </row>
    <row r="28" customFormat="false" ht="14.25" hidden="false" customHeight="true" outlineLevel="0" collapsed="false">
      <c r="A28" s="61" t="s">
        <v>328</v>
      </c>
    </row>
    <row r="29" customFormat="false" ht="14.25" hidden="false" customHeight="true" outlineLevel="0" collapsed="false">
      <c r="A29" s="64" t="s">
        <v>282</v>
      </c>
      <c r="B29" s="69" t="n">
        <f aca="false">'Recurring Overhead'!B33</f>
        <v>10</v>
      </c>
    </row>
    <row r="30" customFormat="false" ht="14.25" hidden="false" customHeight="true" outlineLevel="0" collapsed="false">
      <c r="A30" s="64" t="s">
        <v>329</v>
      </c>
      <c r="B30" s="67" t="n">
        <f aca="false">B24*B29</f>
        <v>8.2152</v>
      </c>
    </row>
    <row r="31" customFormat="false" ht="14.25" hidden="false" customHeight="true" outlineLevel="0" collapsed="false">
      <c r="A31" s="64" t="s">
        <v>330</v>
      </c>
      <c r="B31" s="67" t="n">
        <f aca="false">B15*30</f>
        <v>30</v>
      </c>
      <c r="C31" s="62" t="s">
        <v>331</v>
      </c>
    </row>
    <row r="33" customFormat="false" ht="14.25" hidden="false" customHeight="true" outlineLevel="0" collapsed="false">
      <c r="A33" s="62" t="s">
        <v>332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sheetData>
    <row r="1" customFormat="false" ht="17.25" hidden="false" customHeight="true" outlineLevel="0" collapsed="false">
      <c r="A1" s="70" t="s">
        <v>333</v>
      </c>
    </row>
    <row r="2" customFormat="false" ht="14.25" hidden="false" customHeight="true" outlineLevel="0" collapsed="false">
      <c r="A2" s="62" t="s">
        <v>334</v>
      </c>
    </row>
    <row r="4" customFormat="false" ht="14.25" hidden="false" customHeight="true" outlineLevel="0" collapsed="false">
      <c r="A4" s="61" t="s">
        <v>297</v>
      </c>
    </row>
    <row r="5" customFormat="false" ht="14.25" hidden="false" customHeight="true" outlineLevel="0" collapsed="false">
      <c r="A5" s="63" t="s">
        <v>2</v>
      </c>
      <c r="B5" s="63" t="s">
        <v>87</v>
      </c>
      <c r="C5" s="63" t="s">
        <v>5</v>
      </c>
    </row>
    <row r="6" customFormat="false" ht="14.25" hidden="false" customHeight="true" outlineLevel="0" collapsed="false">
      <c r="A6" s="64" t="s">
        <v>264</v>
      </c>
      <c r="B6" s="65" t="n">
        <v>3</v>
      </c>
      <c r="C6" s="62" t="s">
        <v>335</v>
      </c>
    </row>
    <row r="7" customFormat="false" ht="14.25" hidden="false" customHeight="true" outlineLevel="0" collapsed="false">
      <c r="A7" s="64" t="s">
        <v>336</v>
      </c>
      <c r="B7" s="66" t="n">
        <v>0.15</v>
      </c>
      <c r="C7" s="62" t="s">
        <v>337</v>
      </c>
    </row>
    <row r="8" customFormat="false" ht="14.25" hidden="false" customHeight="true" outlineLevel="0" collapsed="false">
      <c r="A8" s="64" t="s">
        <v>338</v>
      </c>
      <c r="B8" s="65" t="n">
        <v>0.25</v>
      </c>
      <c r="C8" s="62" t="s">
        <v>339</v>
      </c>
    </row>
    <row r="9" customFormat="false" ht="14.25" hidden="false" customHeight="true" outlineLevel="0" collapsed="false">
      <c r="A9" s="64" t="s">
        <v>340</v>
      </c>
      <c r="B9" s="66" t="n">
        <v>0.02</v>
      </c>
      <c r="C9" s="62" t="s">
        <v>341</v>
      </c>
    </row>
    <row r="10" customFormat="false" ht="14.25" hidden="false" customHeight="true" outlineLevel="0" collapsed="false">
      <c r="A10" s="64" t="s">
        <v>342</v>
      </c>
      <c r="B10" s="71" t="s">
        <v>312</v>
      </c>
      <c r="C10" s="62" t="s">
        <v>343</v>
      </c>
    </row>
    <row r="11" customFormat="false" ht="14.25" hidden="false" customHeight="true" outlineLevel="0" collapsed="false">
      <c r="A11" s="64" t="s">
        <v>344</v>
      </c>
      <c r="B11" s="65" t="n">
        <v>25</v>
      </c>
    </row>
    <row r="12" customFormat="false" ht="14.25" hidden="false" customHeight="true" outlineLevel="0" collapsed="false">
      <c r="A12" s="64" t="s">
        <v>345</v>
      </c>
      <c r="B12" s="65" t="n">
        <v>0.75</v>
      </c>
    </row>
    <row r="13" customFormat="false" ht="14.25" hidden="false" customHeight="true" outlineLevel="0" collapsed="false">
      <c r="A13" s="64" t="s">
        <v>346</v>
      </c>
      <c r="B13" s="66" t="n">
        <v>0.35</v>
      </c>
      <c r="C13" s="62" t="s">
        <v>347</v>
      </c>
    </row>
    <row r="15" customFormat="false" ht="14.25" hidden="false" customHeight="true" outlineLevel="0" collapsed="false">
      <c r="A15" s="61" t="s">
        <v>348</v>
      </c>
    </row>
    <row r="16" customFormat="false" ht="14.25" hidden="false" customHeight="true" outlineLevel="0" collapsed="false">
      <c r="A16" s="64" t="s">
        <v>349</v>
      </c>
      <c r="B16" s="67" t="n">
        <f aca="false">MAX(B7*B6,B8)</f>
        <v>0.45</v>
      </c>
    </row>
    <row r="17" customFormat="false" ht="14.25" hidden="false" customHeight="true" outlineLevel="0" collapsed="false">
      <c r="A17" s="64" t="s">
        <v>350</v>
      </c>
      <c r="B17" s="67" t="n">
        <f aca="false">B16*(1+B9)</f>
        <v>0.459</v>
      </c>
    </row>
    <row r="18" customFormat="false" ht="14.25" hidden="false" customHeight="true" outlineLevel="0" collapsed="false">
      <c r="A18" s="64" t="s">
        <v>351</v>
      </c>
      <c r="B18" s="67" t="n">
        <f aca="false">IF(B10="Y",0,B12)</f>
        <v>0.75</v>
      </c>
      <c r="C18" s="62" t="s">
        <v>352</v>
      </c>
    </row>
    <row r="19" customFormat="false" ht="14.25" hidden="false" customHeight="true" outlineLevel="0" collapsed="false">
      <c r="A19" s="64" t="s">
        <v>353</v>
      </c>
      <c r="B19" s="67" t="n">
        <f aca="false">B17+B18</f>
        <v>1.209</v>
      </c>
    </row>
    <row r="20" customFormat="false" ht="14.25" hidden="false" customHeight="true" outlineLevel="0" collapsed="false">
      <c r="A20" s="64" t="s">
        <v>354</v>
      </c>
      <c r="B20" s="67" t="n">
        <f aca="false">B6-B19</f>
        <v>1.791</v>
      </c>
    </row>
    <row r="21" customFormat="false" ht="14.25" hidden="false" customHeight="true" outlineLevel="0" collapsed="false">
      <c r="A21" s="64" t="s">
        <v>355</v>
      </c>
      <c r="B21" s="68" t="n">
        <f aca="false">B19/B6</f>
        <v>0.403</v>
      </c>
    </row>
    <row r="23" customFormat="false" ht="14.25" hidden="false" customHeight="true" outlineLevel="0" collapsed="false">
      <c r="A23" s="61" t="s">
        <v>356</v>
      </c>
    </row>
    <row r="24" customFormat="false" ht="14.25" hidden="false" customHeight="true" outlineLevel="0" collapsed="false">
      <c r="A24" s="64" t="s">
        <v>282</v>
      </c>
      <c r="B24" s="69" t="n">
        <f aca="false">'Recurring Overhead'!B33</f>
        <v>10</v>
      </c>
    </row>
    <row r="25" customFormat="false" ht="14.25" hidden="false" customHeight="true" outlineLevel="0" collapsed="false">
      <c r="A25" s="64" t="s">
        <v>357</v>
      </c>
      <c r="B25" s="67" t="n">
        <f aca="false">B19*B24</f>
        <v>12.09</v>
      </c>
    </row>
    <row r="26" customFormat="false" ht="14.25" hidden="false" customHeight="true" outlineLevel="0" collapsed="false">
      <c r="A26" s="64" t="s">
        <v>358</v>
      </c>
      <c r="B26" s="67" t="n">
        <f aca="false">IF(B10="Y",B11,0)</f>
        <v>0</v>
      </c>
    </row>
    <row r="27" customFormat="false" ht="14.25" hidden="false" customHeight="true" outlineLevel="0" collapsed="false">
      <c r="A27" s="64" t="s">
        <v>359</v>
      </c>
      <c r="B27" s="67" t="n">
        <f aca="false">IF(B10="Y",B13*B6*B24,0)</f>
        <v>0</v>
      </c>
      <c r="C27" s="62" t="s">
        <v>360</v>
      </c>
    </row>
    <row r="29" customFormat="false" ht="14.25" hidden="false" customHeight="true" outlineLevel="0" collapsed="false">
      <c r="A29" s="62" t="s">
        <v>361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0" width="150"/>
  </cols>
  <sheetData>
    <row r="1" customFormat="false" ht="17.25" hidden="false" customHeight="true" outlineLevel="0" collapsed="false">
      <c r="A1" s="1" t="s">
        <v>362</v>
      </c>
    </row>
    <row r="2" customFormat="false" ht="14.25" hidden="false" customHeight="false" outlineLevel="0" collapsed="false">
      <c r="A2" s="72" t="s">
        <v>363</v>
      </c>
    </row>
    <row r="3" customFormat="false" ht="14.25" hidden="false" customHeight="false" outlineLevel="0" collapsed="false">
      <c r="A3" s="73" t="s">
        <v>364</v>
      </c>
    </row>
    <row r="4" customFormat="false" ht="14.25" hidden="false" customHeight="false" outlineLevel="0" collapsed="false">
      <c r="A4" s="73" t="s">
        <v>365</v>
      </c>
    </row>
    <row r="5" customFormat="false" ht="14.25" hidden="false" customHeight="false" outlineLevel="0" collapsed="false">
      <c r="A5" s="73" t="s">
        <v>366</v>
      </c>
    </row>
    <row r="6" customFormat="false" ht="14.25" hidden="false" customHeight="false" outlineLevel="0" collapsed="false">
      <c r="A6" s="72" t="s">
        <v>367</v>
      </c>
    </row>
    <row r="7" customFormat="false" ht="14.25" hidden="false" customHeight="false" outlineLevel="0" collapsed="false">
      <c r="A7" s="73" t="s">
        <v>368</v>
      </c>
    </row>
    <row r="8" customFormat="false" ht="14.25" hidden="false" customHeight="false" outlineLevel="0" collapsed="false">
      <c r="A8" s="72" t="s">
        <v>369</v>
      </c>
    </row>
    <row r="9" customFormat="false" ht="14.25" hidden="false" customHeight="false" outlineLevel="0" collapsed="false">
      <c r="A9" s="73" t="s">
        <v>370</v>
      </c>
    </row>
    <row r="10" customFormat="false" ht="14.25" hidden="false" customHeight="false" outlineLevel="0" collapsed="false">
      <c r="A10" s="73" t="s">
        <v>371</v>
      </c>
    </row>
    <row r="11" customFormat="false" ht="14.25" hidden="false" customHeight="false" outlineLevel="0" collapsed="false">
      <c r="A11" s="73" t="s">
        <v>372</v>
      </c>
    </row>
    <row r="12" customFormat="false" ht="14.25" hidden="false" customHeight="false" outlineLevel="0" collapsed="false">
      <c r="A12" s="73" t="s">
        <v>373</v>
      </c>
    </row>
    <row r="13" customFormat="false" ht="14.25" hidden="false" customHeight="false" outlineLevel="0" collapsed="false">
      <c r="A13" s="73" t="s">
        <v>374</v>
      </c>
    </row>
    <row r="14" customFormat="false" ht="14.25" hidden="false" customHeight="false" outlineLevel="0" collapsed="false">
      <c r="A14" s="73" t="s">
        <v>375</v>
      </c>
    </row>
    <row r="15" customFormat="false" ht="14.25" hidden="false" customHeight="false" outlineLevel="0" collapsed="false">
      <c r="A15" s="73" t="s">
        <v>376</v>
      </c>
    </row>
    <row r="16" customFormat="false" ht="14.25" hidden="false" customHeight="false" outlineLevel="0" collapsed="false">
      <c r="A16" s="73" t="s">
        <v>377</v>
      </c>
    </row>
    <row r="17" customFormat="false" ht="14.25" hidden="false" customHeight="false" outlineLevel="0" collapsed="false">
      <c r="A17" s="72" t="s">
        <v>378</v>
      </c>
    </row>
    <row r="18" customFormat="false" ht="14.25" hidden="false" customHeight="false" outlineLevel="0" collapsed="false">
      <c r="A18" s="73" t="s">
        <v>379</v>
      </c>
    </row>
    <row r="19" customFormat="false" ht="14.25" hidden="false" customHeight="false" outlineLevel="0" collapsed="false">
      <c r="A19" s="73" t="s">
        <v>380</v>
      </c>
    </row>
    <row r="20" customFormat="false" ht="14.25" hidden="false" customHeight="false" outlineLevel="0" collapsed="false">
      <c r="A20" s="73" t="s">
        <v>381</v>
      </c>
    </row>
    <row r="21" customFormat="false" ht="14.25" hidden="false" customHeight="false" outlineLevel="0" collapsed="false">
      <c r="A21" s="73" t="s">
        <v>382</v>
      </c>
    </row>
    <row r="22" customFormat="false" ht="14.25" hidden="false" customHeight="false" outlineLevel="0" collapsed="false">
      <c r="A22" s="73" t="s">
        <v>383</v>
      </c>
    </row>
    <row r="23" customFormat="false" ht="14.25" hidden="false" customHeight="false" outlineLevel="0" collapsed="false">
      <c r="A23" s="73" t="s">
        <v>384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2026-07-22T19:17:07Z</dcterms:created>
  <dc:creator>openpyxl</dc:creator>
  <dc:description/>
  <dc:language>en-US</dc:language>
  <cp:lastModifiedBy>Liron Stroh</cp:lastModifiedBy>
  <dcterms:modified xsi:type="dcterms:W3CDTF">2026-09-20T04:54:55Z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