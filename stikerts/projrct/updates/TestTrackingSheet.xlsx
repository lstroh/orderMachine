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Packing Results Oct 2026" sheetId="2" state="visible" r:id="rId4"/>
    <sheet name="Test 6 - Transit" sheetId="3" state="visible" r:id="rId5"/>
    <sheet name="Corner Punch &amp; Peel-Nick" sheetId="4" state="visible" r:id="rId6"/>
    <sheet name="Addendum 2 - Visibility" sheetId="5" state="visible" r:id="rId7"/>
    <sheet name="Addendum 3 - Durability" sheetId="6" state="visible" r:id="rId8"/>
    <sheet name="Addendum 4 - Cut File Forma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Measured 4mm / 36g. Earlier estimate was ~0.5mm — much closer to the 5mm Letter limit than assumed.</t>
        </r>
      </text>
    </comment>
    <comment ref="B10" authorId="0">
      <text>
        <r>
          <rPr>
            <sz val="10"/>
            <rFont val="Arial"/>
            <family val="2"/>
          </rPr>
          <t xml:space="preserve">Check: a 20mm-tall box logged as 3mm? (Sep 2026 review)</t>
        </r>
      </text>
    </comment>
  </commentList>
</comments>
</file>

<file path=xl/sharedStrings.xml><?xml version="1.0" encoding="utf-8"?>
<sst xmlns="http://schemas.openxmlformats.org/spreadsheetml/2006/main" count="284" uniqueCount="206">
  <si>
    <t xml:space="preserve">Bin Sticker — Test Tracking Workbook</t>
  </si>
  <si>
    <t xml:space="preserve">How to use this workbook</t>
  </si>
  <si>
    <t xml:space="preserve">Yellow cells</t>
  </si>
  <si>
    <t xml:space="preserve">Your input goes here. Everything else is a label or formula — leave as is.</t>
  </si>
  <si>
    <t xml:space="preserve">Tab order</t>
  </si>
  <si>
    <t xml:space="preserve">Test 6 (Transit) → Corner Punch &amp; Peel-Nick → Addendum 2 (Clear Vinyl Visibility) → Addendum 3 (Clear Vinyl Durability) → Addendum 4 (Cut File Format, if considering the kiss-cut machine upgrade) — see the status note below for what is on hold or closed.</t>
  </si>
  <si>
    <t xml:space="preserve">Dependency</t>
  </si>
  <si>
    <t xml:space="preserve">Addendum 3 can't start until Addendum 2 has identified a winning colour(s). Do Addendum 2 first.</t>
  </si>
  <si>
    <t xml:space="preserve">Reuse note</t>
  </si>
  <si>
    <t xml:space="preserve">If you plan to ship the Addendum 3 samples afterward to double as Test 6 shipping samples (to avoid wasting material), mark them 'post-durability-test' in the Test 6 notes column — a crease found on arrival could be from UV/scratch exposure, not the post, so don't treat that result as a clean packaging-only signal.</t>
  </si>
  <si>
    <t xml:space="preserve">Cricut tests</t>
  </si>
  <si>
    <t xml:space="preserve">Tests 1–5 from Bin-Sticker-Material-Test-Plan.md (Cricut vs Stickiply comparison) are intentionally NOT in this workbook — those wait until Cricut materials arrive.</t>
  </si>
  <si>
    <t xml:space="preserve">Addendum 4</t>
  </si>
  <si>
    <t xml:space="preserve">Free pre-purchase check for the kiss-cut machine upgrade path — confirms whether the DXF file imports cleanly into Silhouette Studio Basic (free) before you spend money on either the Portrait 4 or Joy Xtra. (CLOSED Sep 2026 — the Cricut Explore 5 was bought, so this comparison is moot.)</t>
  </si>
  <si>
    <t xml:space="preserve">Status (Oct 2026)</t>
  </si>
  <si>
    <t xml:space="preserve">Test 6 complete: the A6/C6 board-backed envelope (single packs, Letter) and the AKAR A6/C6 box (2-4 packs, Large Letter) passed the Post Office counter check, drop/flex and post-to-self (2-day delivery). Weights and box measurements are on the 'Packing Results Oct 2026' tab.</t>
  </si>
  <si>
    <t xml:space="preserve">Packing measurements - Oct 2026 (envelope + AKAR box)</t>
  </si>
  <si>
    <t xml:space="preserve">Blue/yellow = measured inputs (from tester). Black = formulas. Labels excluded (printed at Post Office).</t>
  </si>
  <si>
    <t xml:space="preserve">Component</t>
  </si>
  <si>
    <t xml:space="preserve">Weight (g)</t>
  </si>
  <si>
    <t xml:space="preserve">Source / note</t>
  </si>
  <si>
    <t xml:space="preserve">Empty A6/C6 envelope</t>
  </si>
  <si>
    <t xml:space="preserve">Measured. Size 11.3 x 17 (as reported), thickness under 4mm</t>
  </si>
  <si>
    <t xml:space="preserve">4 small bin stickers</t>
  </si>
  <si>
    <t xml:space="preserve">Measured</t>
  </si>
  <si>
    <t xml:space="preserve">Thank-you note</t>
  </si>
  <si>
    <t xml:space="preserve">Empty AKAR box</t>
  </si>
  <si>
    <t xml:space="preserve">Measured. 16 x 13 x 2.3 (cm)</t>
  </si>
  <si>
    <t xml:space="preserve">Envelope + 1 pack, no tape (reported 'same weight' as taped)</t>
  </si>
  <si>
    <t xml:space="preserve">Envelope + 1 pack + tape</t>
  </si>
  <si>
    <t xml:space="preserve">Measured; ~30cm tape</t>
  </si>
  <si>
    <t xml:space="preserve">Box + 2 packs, no tape</t>
  </si>
  <si>
    <t xml:space="preserve">Box + 2 packs + tape</t>
  </si>
  <si>
    <t xml:space="preserve">Measured; ~45cm tape</t>
  </si>
  <si>
    <t xml:space="preserve">Box + 3 packs, no tape</t>
  </si>
  <si>
    <t xml:space="preserve">Box + 4 packs, no tape</t>
  </si>
  <si>
    <t xml:space="preserve">Derived</t>
  </si>
  <si>
    <t xml:space="preserve">One pack (4 stickers + note), g</t>
  </si>
  <si>
    <t xml:space="preserve">Tape weight, box (g)</t>
  </si>
  <si>
    <t xml:space="preserve">Weight added per extra pack in box (avg of 2 to 4 packs, g)</t>
  </si>
  <si>
    <t xml:space="preserve">Est. box + 4 packs + tape (g)</t>
  </si>
  <si>
    <t xml:space="preserve">Weight limit - Letter / Large Letter band 1 (g)</t>
  </si>
  <si>
    <t xml:space="preserve">Spare weight at 4 packs + tape (g)</t>
  </si>
  <si>
    <t xml:space="preserve">Theoretical max packs under weight limit (with tape; keep margin, cap at 4)</t>
  </si>
  <si>
    <t xml:space="preserve">Box external height (mm)</t>
  </si>
  <si>
    <t xml:space="preserve">Large Letter max thickness (mm)</t>
  </si>
  <si>
    <t xml:space="preserve">Height margin (mm)</t>
  </si>
  <si>
    <t xml:space="preserve">Packs in box - capacity used for postage comparison</t>
  </si>
  <si>
    <t xml:space="preserve">Postage comparison (prices from cost sheet; confirm in Click &amp; Drop)</t>
  </si>
  <si>
    <t xml:space="preserve">Letter (£)</t>
  </si>
  <si>
    <t xml:space="preserve">Large Letter up to 100g (£)</t>
  </si>
  <si>
    <t xml:space="preserve">Large Letter up to 250g (£)</t>
  </si>
  <si>
    <t xml:space="preserve">Packs per order</t>
  </si>
  <si>
    <t xml:space="preserve">Separate Letters (£)</t>
  </si>
  <si>
    <t xml:space="preserve">One box (£)</t>
  </si>
  <si>
    <t xml:space="preserve">Saving (£)</t>
  </si>
  <si>
    <t xml:space="preserve">Note: 1 pack uses the envelope as a Letter (cheapest). Box rows assume loose packs (no envelopes); packs in envelopes add ~14g each and cross 100g sooner.</t>
  </si>
  <si>
    <t xml:space="preserve">Note (Oct 2026): all weights on this tab were taken WITHOUT the personal paper wrap (~4.1g and ~0.5-0.6mm a pack). 4 wrapped packs would be about 98-100g, so the box cap is 3 wrapped packs until weighed. The 4-pack postage row assumes unwrapped packs.</t>
  </si>
  <si>
    <t xml:space="preserve">Test 6 — Transit / Shipping Stress</t>
  </si>
  <si>
    <t xml:space="preserve">Date started:</t>
  </si>
  <si>
    <t xml:space="preserve">Packed thickness</t>
  </si>
  <si>
    <t xml:space="preserve">Packaging</t>
  </si>
  <si>
    <t xml:space="preserve">Thickness (mm)</t>
  </si>
  <si>
    <t xml:space="preserve">Under 5mm?</t>
  </si>
  <si>
    <t xml:space="preserve">Royal Mail format</t>
  </si>
  <si>
    <t xml:space="preserve">weight</t>
  </si>
  <si>
    <t xml:space="preserve">cost</t>
  </si>
  <si>
    <t xml:space="preserve">Notes</t>
  </si>
  <si>
    <t xml:space="preserve">1. Kraft envelope + tissue (flat wrap)</t>
  </si>
  <si>
    <t xml:space="preserve">doesn't fit</t>
  </si>
  <si>
    <t xml:space="preserve">2. Kraft envelope + backing card</t>
  </si>
  <si>
    <t xml:space="preserve">36g</t>
  </si>
  <si>
    <t xml:space="preserve">letter</t>
  </si>
  <si>
    <t xml:space="preserve">3. Mail Lite A/000 padded mailer</t>
  </si>
  <si>
    <t xml:space="preserve">4. C6 box</t>
  </si>
  <si>
    <t xml:space="preserve">48g</t>
  </si>
  <si>
    <t xml:space="preserve">large letter</t>
  </si>
  <si>
    <t xml:space="preserve">CHECK: 20mm box logged as 3mm - likely 23mm (AKAR box measured 2.3cm Oct 2026). Verify before relying on C10.</t>
  </si>
  <si>
    <t xml:space="preserve">5. A6/C6 board-backed "Do Not Bend" envelope (confirmed choice)</t>
  </si>
  <si>
    <t xml:space="preserve">&lt;5 (passed PO gauge)</t>
  </si>
  <si>
    <t xml:space="preserve">Y</t>
  </si>
  <si>
    <t xml:space="preserve">31g (envelope + 1 pack + tape)</t>
  </si>
  <si>
    <t xml:space="preserve">letter - passed Post Office counter check; posted Oct 2026. Exact mm not measured (reported under 4mm). Price charged not logged</t>
  </si>
  <si>
    <t xml:space="preserve">6. AKAR white A6/C6 Large Letter box (2-4 packs)</t>
  </si>
  <si>
    <t xml:space="preserve">57g (2 packs, taped); 82g (4 packs, tape not yet included)</t>
  </si>
  <si>
    <t xml:space="preserve">large letter - 23mm (2mm under the 25mm limit). Weights are WITHOUT the personal wrap: 4 packs 82g. The wrap adds ~4g a pack, so 4 wrapped packs would be ~98-100g - cap at 3 wrapped packs until 4 wrapped are weighed</t>
  </si>
  <si>
    <t xml:space="preserve">Drop / flex test (do first)</t>
  </si>
  <si>
    <t xml:space="preserve">Flat drop x3</t>
  </si>
  <si>
    <t xml:space="preserve">Edge drop x3</t>
  </si>
  <si>
    <t xml:space="preserve">Corner drop x3</t>
  </si>
  <si>
    <t xml:space="preserve">Flex x5 (30°, 2s)</t>
  </si>
  <si>
    <t xml:space="preserve">Pass</t>
  </si>
  <si>
    <t xml:space="preserve">Oct 2026: all drops and flex passed (per tester)</t>
  </si>
  <si>
    <t xml:space="preserve">Post-to-self test</t>
  </si>
  <si>
    <t xml:space="preserve">Date posted</t>
  </si>
  <si>
    <t xml:space="preserve">Date arrived</t>
  </si>
  <si>
    <t xml:space="preserve">Creasing?</t>
  </si>
  <si>
    <t xml:space="preserve">Corner damage?</t>
  </si>
  <si>
    <t xml:space="preserve">Shift inside?</t>
  </si>
  <si>
    <t xml:space="preserve">Oct 2026 (date not logged)</t>
  </si>
  <si>
    <t xml:space="preserve">2 days after posting</t>
  </si>
  <si>
    <t xml:space="preserve">Pass (none)</t>
  </si>
  <si>
    <t xml:space="preserve">Passed - arrived in 2 days via Click &amp; Drop, no creasing, corner damage or shifting (per tester)</t>
  </si>
  <si>
    <t xml:space="preserve">Decision</t>
  </si>
  <si>
    <t xml:space="preserve">Chosen packaging:</t>
  </si>
  <si>
    <t xml:space="preserve">CONFIRMED Oct 2026: A6/C6 board-backed 'Do Not Bend' envelope for single packs (Letter); AKAR box for 2-4 packs (Large Letter). Passed counter check, drop/flex and post-to-self.</t>
  </si>
  <si>
    <t xml:space="preserve">If backing card performs close to padded mailer/box → standout (Letter-rate + real protection). If it creases like flat wrap → the extra postage for mailer/box is buying real protection.</t>
  </si>
  <si>
    <t xml:space="preserve">Update Sep 2026: the A6/C6 board-backed "Do Not Bend" envelope (row 5) is the confirmed choice — this test validates it. It must stay under 5mm and 100g (Letter rate £0.91; otherwise Large Letter £1.55, and profit per pack at the £4 eBay price falls from about £0.80 to £0.16) and survive the drop/flex and post-to-self tests. The backing card (4mm, 36g) and box are comparators/fallback.</t>
  </si>
  <si>
    <t xml:space="preserve">Update Oct 2026: tape adds ~2g (box + 2 packs 55g -&gt; 57g; envelope unchanged at 31g). Tape used: ~30cm per envelope, ~45cm per box. Box weights: 2 packs 55g, 3 packs 69g, 4 packs 82g (~13-14g per pack). Labels are printed at the Post Office via Click &amp; Drop, so they are excluded from thickness/weight.</t>
  </si>
  <si>
    <t xml:space="preserve">Update Oct 2026: Test 6 complete - envelope and AKAR box passed the Post Office counter check, all drop/flex tests and post-to-self (arrived in 2 days). Not logged: exact envelope thickness (mm), price charged at the counter, posting date.</t>
  </si>
  <si>
    <t xml:space="preserve">Corner Punch &amp; Peel-Nick Check</t>
  </si>
  <si>
    <t xml:space="preserve">ON HOLD (Sep 2026): cutting is now Cricut cut-only for all sizes; the corner punch and Slice are only revisited if the cut-only test (Test Plan, Addendum 6) shows a need. Results below are from 3 Aug 2026, Stickiply only.</t>
  </si>
  <si>
    <t xml:space="preserve">Date tested:</t>
  </si>
  <si>
    <t xml:space="preserve">Material:</t>
  </si>
  <si>
    <t xml:space="preserve">Stickiply (vinyl + laminate)</t>
  </si>
  <si>
    <t xml:space="preserve">Corner punch</t>
  </si>
  <si>
    <t xml:space="preserve">Radius</t>
  </si>
  <si>
    <t xml:space="preserve">Cuts cleanly?</t>
  </si>
  <si>
    <t xml:space="preserve">Tears/stretches?</t>
  </si>
  <si>
    <t xml:space="preserve">Jams?</t>
  </si>
  <si>
    <t xml:space="preserve">4mm</t>
  </si>
  <si>
    <t xml:space="preserve">N</t>
  </si>
  <si>
    <t xml:space="preserve">7mm</t>
  </si>
  <si>
    <t xml:space="preserve">10mm</t>
  </si>
  <si>
    <t xml:space="preserve">Cleanest radius:</t>
  </si>
  <si>
    <t xml:space="preserve">Peel-nick (Slice 00200)</t>
  </si>
  <si>
    <t xml:space="preserve">Attempt</t>
  </si>
  <si>
    <t xml:space="preserve">Backing stays intact?</t>
  </si>
  <si>
    <t xml:space="preserve">Catches fingernail cleanly?</t>
  </si>
  <si>
    <t xml:space="preserve">Consistent after how many attempts:</t>
  </si>
  <si>
    <t xml:space="preserve">n/a</t>
  </si>
  <si>
    <t xml:space="preserve">all good</t>
  </si>
  <si>
    <t xml:space="preserve">Both clean → guillotine + punch + Slice 00200 is the workflow. Punch tears → try lower radius, or fall back to square corners / rounding attachment. Peel-nick unreliable after several tries → skip it, rely on rounded corner alone.</t>
  </si>
  <si>
    <t xml:space="preserve">Addendum 2 — Clear Vinyl Colour Visibility</t>
  </si>
  <si>
    <t xml:space="preserve">Purpose: identify which of the 5 candidate colours stay visible when printed on clear vinyl and applied over black / dark green / dark brown bin surfaces (15 combinations). Winning colour(s) feed into Addendum 3.</t>
  </si>
  <si>
    <t xml:space="preserve">Colour</t>
  </si>
  <si>
    <t xml:space="preserve">Hex</t>
  </si>
  <si>
    <t xml:space="preserve">Bin surface</t>
  </si>
  <si>
    <t xml:space="preserve">Result (Pass/Marginal/Fail)</t>
  </si>
  <si>
    <t xml:space="preserve">Thin linework legible?</t>
  </si>
  <si>
    <t xml:space="preserve">Golden Yellow</t>
  </si>
  <si>
    <t xml:space="preserve">#F2B705</t>
  </si>
  <si>
    <t xml:space="preserve">Black bin</t>
  </si>
  <si>
    <t xml:space="preserve">Dark green bin</t>
  </si>
  <si>
    <t xml:space="preserve">Dark brown bin</t>
  </si>
  <si>
    <t xml:space="preserve">Warm Cream/Ivory</t>
  </si>
  <si>
    <t xml:space="preserve">#F5E8C8</t>
  </si>
  <si>
    <t xml:space="preserve">Burnt Amber/Orange</t>
  </si>
  <si>
    <t xml:space="preserve">#D9782E</t>
  </si>
  <si>
    <t xml:space="preserve">Powder Sky Blue</t>
  </si>
  <si>
    <t xml:space="preserve">#8FB8DE</t>
  </si>
  <si>
    <t xml:space="preserve">Dusty Rose/Coral</t>
  </si>
  <si>
    <t xml:space="preserve">#E08A73</t>
  </si>
  <si>
    <t xml:space="preserve">Winning colour(s) (pass cleanly, or on ≥1 surface):</t>
  </si>
  <si>
    <t xml:space="preserve">All 5 fail on black → confirms white-card method as default for black bins; clear vinyl reserved for green/brown. A colour passing on some surfaces but not others → still usable, just recommend only for those bin colours.</t>
  </si>
  <si>
    <t xml:space="preserve">Addendum 3 — Clear Vinyl Durability (winning colour)</t>
  </si>
  <si>
    <t xml:space="preserve">⚠ Do not start until Addendum 2 has identified a winning colour. Enter it below once known.</t>
  </si>
  <si>
    <t xml:space="preserve">Winning colour under test:</t>
  </si>
  <si>
    <t xml:space="preserve">Best-matching bin surface (from Addendum 2):</t>
  </si>
  <si>
    <t xml:space="preserve">Reuse note: if these samples will be shipped afterward to double as Test 6 packaging samples, mark them 'post-durability-test' on the Test 6 tab — a crease could be from UV/scratch exposure rather than the post, so treat that Test 6 result as informal, not a clean packaging-only signal.</t>
  </si>
  <si>
    <t xml:space="preserve">Test 3 — UV / outdoor exposure (2–3 weeks)</t>
  </si>
  <si>
    <t xml:space="preserve">Day</t>
  </si>
  <si>
    <t xml:space="preserve">Date</t>
  </si>
  <si>
    <t xml:space="preserve">Fading/yellowing?</t>
  </si>
  <si>
    <t xml:space="preserve">Edge lifting?</t>
  </si>
  <si>
    <t xml:space="preserve">Cracking?</t>
  </si>
  <si>
    <t xml:space="preserve">Fades toward bin colour?</t>
  </si>
  <si>
    <t xml:space="preserve">0 (start)</t>
  </si>
  <si>
    <t xml:space="preserve">3-4</t>
  </si>
  <si>
    <t xml:space="preserve">7</t>
  </si>
  <si>
    <t xml:space="preserve">10-11</t>
  </si>
  <si>
    <t xml:space="preserve">14</t>
  </si>
  <si>
    <t xml:space="preserve">17-18</t>
  </si>
  <si>
    <t xml:space="preserve">21 (end)</t>
  </si>
  <si>
    <t xml:space="preserve">Test 5 — Scratch &amp; handling</t>
  </si>
  <si>
    <t xml:space="preserve">Check</t>
  </si>
  <si>
    <t xml:space="preserve">Result</t>
  </si>
  <si>
    <t xml:space="preserve">Visible scratch marks?</t>
  </si>
  <si>
    <t xml:space="preserve">Ink showing through?</t>
  </si>
  <si>
    <t xml:space="preserve">Laminate lifting?</t>
  </si>
  <si>
    <t xml:space="preserve">More visible than on white stock (no white backing)?</t>
  </si>
  <si>
    <t xml:space="preserve">Comparable to white vinyl results → Technique F confirmed as a genuine production path. UV fading notably worse → position as indoor-leaning/shorter-guarantee option. Scratches more visible → flag in listing or avoid for high-handling items (water bottles).</t>
  </si>
  <si>
    <t xml:space="preserve">Addendum 4 — Cut File Format Verification (SVG vs DXF)</t>
  </si>
  <si>
    <t xml:space="preserve">CLOSED (Sep 2026): the Cricut Explore 5 was bought, so the Joy Xtra vs Portrait 4 comparison is moot. Kept as a record.</t>
  </si>
  <si>
    <t xml:space="preserve">Purpose: before buying either machine, confirm whether the free-tier import path (SVG → Cricut Design Space, DXF → Silhouette Studio Basic) brings in the cut rectangle at the correct 100 x 140mm size. Free to test — both apps can be installed and used to check import sizing without owning the machine. No vinyl needed — use regular paper only.</t>
  </si>
  <si>
    <t xml:space="preserve">Part 1 — Software import check (no printing needed)</t>
  </si>
  <si>
    <t xml:space="preserve">File</t>
  </si>
  <si>
    <t xml:space="preserve">Software (free)</t>
  </si>
  <si>
    <t xml:space="preserve">Reported size on import</t>
  </si>
  <si>
    <t xml:space="preserve">Matches 100x140mm?</t>
  </si>
  <si>
    <t xml:space="preserve">Clean / mangled?</t>
  </si>
  <si>
    <t xml:space="preserve">sticker_cut_lines.svg</t>
  </si>
  <si>
    <t xml:space="preserve">Cricut Design Space</t>
  </si>
  <si>
    <t xml:space="preserve">sticker_cut_lines.dxf</t>
  </si>
  <si>
    <t xml:space="preserve">Silhouette Studio (Basic Edition, free)</t>
  </si>
  <si>
    <t xml:space="preserve">Part 2 — Printed comparison (regular paper, not vinyl)</t>
  </si>
  <si>
    <t xml:space="preserve">Print 2 copies of bin_sticker.py's cut-guide sheet (sheet.pdf, or a test batch) on regular printer paper — one to sit alongside the SVG import, one alongside the DXF import. Measure the printed cut-guide rectangle itself with a ruler first (confirms bin_sticker.py's own output is accurate), then compare the software's on-screen imported shape size against that measured rectangle.</t>
  </si>
  <si>
    <t xml:space="preserve">Measured / observed</t>
  </si>
  <si>
    <t xml:space="preserve">Expected</t>
  </si>
  <si>
    <t xml:space="preserve">Match?</t>
  </si>
  <si>
    <t xml:space="preserve">Printed cut-guide rectangle (ruler measurement)</t>
  </si>
  <si>
    <t xml:space="preserve">100 x 140mm</t>
  </si>
  <si>
    <t xml:space="preserve">SVG import size shown in Design Space</t>
  </si>
  <si>
    <t xml:space="preserve">DXF import size shown in Silhouette Studio</t>
  </si>
  <si>
    <t xml:space="preserve">DXF imports clean at correct size → Silhouette Portrait 4 is a no-compromise pick (cheaper, no subscription). DXF is off-size or mangled → go with Cricut Joy Xtra + the free SVG path instead. Record which machine you're proceeding with below.</t>
  </si>
  <si>
    <t xml:space="preserve">Machine proceeding with: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</si>
</sst>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0.00"/>
    <numFmt numFmtId="166" formatCode="d\-m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555555"/>
      <name val="Cambria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b val="true"/>
      <sz val="10"/>
      <color rgb="FFB053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F5233"/>
        <bgColor rgb="FF555555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5F"/>
      <rgbColor rgb="FF339966"/>
      <rgbColor rgb="FF003300"/>
      <rgbColor rgb="FF333300"/>
      <rgbColor rgb="FFB0532E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</row>
    <row r="4" customFormat="false" ht="30" hidden="false" customHeight="tru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30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78" hidden="false" customHeight="true" outlineLevel="0" collapsed="false">
      <c r="A10" s="4" t="s">
        <v>14</v>
      </c>
      <c r="B10" s="5" t="s">
        <v>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14"/>
  </cols>
  <sheetData>
    <row r="1" customFormat="false" ht="15" hidden="false" customHeight="true" outlineLevel="0" collapsed="false">
      <c r="A1" s="6" t="s">
        <v>16</v>
      </c>
      <c r="B1" s="6"/>
      <c r="C1" s="6"/>
      <c r="D1" s="6"/>
      <c r="E1" s="6"/>
    </row>
    <row r="2" customFormat="false" ht="15" hidden="false" customHeight="true" outlineLevel="0" collapsed="false">
      <c r="A2" s="7" t="s">
        <v>17</v>
      </c>
      <c r="B2" s="8"/>
      <c r="C2" s="8"/>
      <c r="D2" s="8"/>
      <c r="E2" s="8"/>
    </row>
    <row r="3" customFormat="false" ht="15" hidden="false" customHeight="true" outlineLevel="0" collapsed="false">
      <c r="A3" s="8"/>
      <c r="B3" s="8"/>
      <c r="C3" s="8"/>
      <c r="D3" s="8"/>
      <c r="E3" s="8"/>
    </row>
    <row r="4" customFormat="false" ht="15" hidden="false" customHeight="true" outlineLevel="0" collapsed="false">
      <c r="A4" s="9" t="s">
        <v>18</v>
      </c>
      <c r="B4" s="9" t="s">
        <v>19</v>
      </c>
      <c r="C4" s="9" t="s">
        <v>20</v>
      </c>
      <c r="D4" s="8"/>
      <c r="E4" s="8"/>
    </row>
    <row r="5" customFormat="false" ht="15" hidden="false" customHeight="true" outlineLevel="0" collapsed="false">
      <c r="A5" s="8" t="s">
        <v>21</v>
      </c>
      <c r="B5" s="10" t="n">
        <v>14</v>
      </c>
      <c r="C5" s="8" t="s">
        <v>22</v>
      </c>
      <c r="D5" s="8"/>
      <c r="E5" s="8"/>
    </row>
    <row r="6" customFormat="false" ht="15" hidden="false" customHeight="true" outlineLevel="0" collapsed="false">
      <c r="A6" s="8" t="s">
        <v>23</v>
      </c>
      <c r="B6" s="10" t="n">
        <v>13</v>
      </c>
      <c r="C6" s="8" t="s">
        <v>24</v>
      </c>
      <c r="D6" s="8"/>
      <c r="E6" s="8"/>
    </row>
    <row r="7" customFormat="false" ht="15" hidden="false" customHeight="true" outlineLevel="0" collapsed="false">
      <c r="A7" s="8" t="s">
        <v>25</v>
      </c>
      <c r="B7" s="10" t="n">
        <v>3</v>
      </c>
      <c r="C7" s="8" t="s">
        <v>24</v>
      </c>
      <c r="D7" s="8"/>
      <c r="E7" s="8"/>
    </row>
    <row r="8" customFormat="false" ht="15" hidden="false" customHeight="true" outlineLevel="0" collapsed="false">
      <c r="A8" s="8" t="s">
        <v>26</v>
      </c>
      <c r="B8" s="10" t="n">
        <v>26</v>
      </c>
      <c r="C8" s="8" t="s">
        <v>27</v>
      </c>
      <c r="D8" s="8"/>
      <c r="E8" s="8"/>
    </row>
    <row r="9" customFormat="false" ht="15" hidden="false" customHeight="true" outlineLevel="0" collapsed="false">
      <c r="A9" s="8" t="s">
        <v>28</v>
      </c>
      <c r="B9" s="10" t="n">
        <v>31</v>
      </c>
      <c r="C9" s="8" t="s">
        <v>24</v>
      </c>
      <c r="D9" s="8"/>
      <c r="E9" s="8"/>
    </row>
    <row r="10" customFormat="false" ht="15" hidden="false" customHeight="true" outlineLevel="0" collapsed="false">
      <c r="A10" s="8" t="s">
        <v>29</v>
      </c>
      <c r="B10" s="10" t="n">
        <v>31</v>
      </c>
      <c r="C10" s="8" t="s">
        <v>30</v>
      </c>
      <c r="D10" s="8"/>
      <c r="E10" s="8"/>
    </row>
    <row r="11" customFormat="false" ht="15" hidden="false" customHeight="true" outlineLevel="0" collapsed="false">
      <c r="A11" s="8" t="s">
        <v>31</v>
      </c>
      <c r="B11" s="10" t="n">
        <v>55</v>
      </c>
      <c r="C11" s="8" t="s">
        <v>24</v>
      </c>
      <c r="D11" s="8"/>
      <c r="E11" s="8"/>
    </row>
    <row r="12" customFormat="false" ht="15" hidden="false" customHeight="true" outlineLevel="0" collapsed="false">
      <c r="A12" s="8" t="s">
        <v>32</v>
      </c>
      <c r="B12" s="10" t="n">
        <v>57</v>
      </c>
      <c r="C12" s="8" t="s">
        <v>33</v>
      </c>
      <c r="D12" s="8"/>
      <c r="E12" s="8"/>
    </row>
    <row r="13" customFormat="false" ht="15" hidden="false" customHeight="true" outlineLevel="0" collapsed="false">
      <c r="A13" s="8" t="s">
        <v>34</v>
      </c>
      <c r="B13" s="10" t="n">
        <v>69</v>
      </c>
      <c r="C13" s="8" t="s">
        <v>24</v>
      </c>
      <c r="D13" s="8"/>
      <c r="E13" s="8"/>
    </row>
    <row r="14" customFormat="false" ht="15" hidden="false" customHeight="true" outlineLevel="0" collapsed="false">
      <c r="A14" s="8" t="s">
        <v>35</v>
      </c>
      <c r="B14" s="10" t="n">
        <v>82</v>
      </c>
      <c r="C14" s="8" t="s">
        <v>24</v>
      </c>
      <c r="D14" s="8"/>
      <c r="E14" s="8"/>
    </row>
    <row r="15" customFormat="false" ht="15" hidden="false" customHeight="true" outlineLevel="0" collapsed="false">
      <c r="A15" s="8"/>
      <c r="B15" s="8"/>
      <c r="C15" s="8"/>
      <c r="D15" s="8"/>
      <c r="E15" s="8"/>
    </row>
    <row r="16" customFormat="false" ht="15" hidden="false" customHeight="true" outlineLevel="0" collapsed="false">
      <c r="A16" s="4" t="s">
        <v>36</v>
      </c>
      <c r="B16" s="8"/>
      <c r="C16" s="8"/>
      <c r="D16" s="8"/>
      <c r="E16" s="8"/>
    </row>
    <row r="17" customFormat="false" ht="15" hidden="false" customHeight="true" outlineLevel="0" collapsed="false">
      <c r="A17" s="8" t="s">
        <v>37</v>
      </c>
      <c r="B17" s="8" t="n">
        <f aca="false">B6+B7</f>
        <v>16</v>
      </c>
      <c r="C17" s="8"/>
      <c r="D17" s="8"/>
      <c r="E17" s="8"/>
    </row>
    <row r="18" customFormat="false" ht="15" hidden="false" customHeight="true" outlineLevel="0" collapsed="false">
      <c r="A18" s="8" t="s">
        <v>38</v>
      </c>
      <c r="B18" s="8" t="n">
        <f aca="false">B12-B11</f>
        <v>2</v>
      </c>
      <c r="C18" s="8"/>
      <c r="D18" s="8"/>
      <c r="E18" s="8"/>
    </row>
    <row r="19" customFormat="false" ht="15" hidden="false" customHeight="true" outlineLevel="0" collapsed="false">
      <c r="A19" s="8" t="s">
        <v>39</v>
      </c>
      <c r="B19" s="8" t="n">
        <f aca="false">(B14-B11)/2</f>
        <v>13.5</v>
      </c>
      <c r="C19" s="8"/>
      <c r="D19" s="8"/>
      <c r="E19" s="8"/>
    </row>
    <row r="20" customFormat="false" ht="15" hidden="false" customHeight="true" outlineLevel="0" collapsed="false">
      <c r="A20" s="8" t="s">
        <v>40</v>
      </c>
      <c r="B20" s="8" t="n">
        <f aca="false">B14+B18</f>
        <v>84</v>
      </c>
      <c r="C20" s="8"/>
      <c r="D20" s="8"/>
      <c r="E20" s="8"/>
    </row>
    <row r="21" customFormat="false" ht="15" hidden="false" customHeight="true" outlineLevel="0" collapsed="false">
      <c r="A21" s="8" t="s">
        <v>41</v>
      </c>
      <c r="B21" s="10" t="n">
        <v>100</v>
      </c>
      <c r="C21" s="8"/>
      <c r="D21" s="8"/>
      <c r="E21" s="8"/>
    </row>
    <row r="22" customFormat="false" ht="15" hidden="false" customHeight="true" outlineLevel="0" collapsed="false">
      <c r="A22" s="8" t="s">
        <v>42</v>
      </c>
      <c r="B22" s="8" t="n">
        <f aca="false">B21-B20</f>
        <v>16</v>
      </c>
      <c r="C22" s="8"/>
      <c r="D22" s="8"/>
      <c r="E22" s="8"/>
    </row>
    <row r="23" customFormat="false" ht="15" hidden="false" customHeight="true" outlineLevel="0" collapsed="false">
      <c r="A23" s="8" t="s">
        <v>43</v>
      </c>
      <c r="B23" s="8" t="n">
        <f aca="false">INT((B21-B8-B18)/B19)</f>
        <v>5</v>
      </c>
      <c r="C23" s="8"/>
      <c r="D23" s="8"/>
      <c r="E23" s="8"/>
    </row>
    <row r="24" customFormat="false" ht="15" hidden="false" customHeight="true" outlineLevel="0" collapsed="false">
      <c r="A24" s="8" t="s">
        <v>44</v>
      </c>
      <c r="B24" s="10" t="n">
        <v>23</v>
      </c>
      <c r="C24" s="8"/>
      <c r="D24" s="8"/>
      <c r="E24" s="8"/>
    </row>
    <row r="25" customFormat="false" ht="15" hidden="false" customHeight="true" outlineLevel="0" collapsed="false">
      <c r="A25" s="8" t="s">
        <v>45</v>
      </c>
      <c r="B25" s="10" t="n">
        <v>25</v>
      </c>
      <c r="C25" s="8"/>
      <c r="D25" s="8"/>
      <c r="E25" s="8"/>
    </row>
    <row r="26" customFormat="false" ht="15" hidden="false" customHeight="true" outlineLevel="0" collapsed="false">
      <c r="A26" s="8" t="s">
        <v>46</v>
      </c>
      <c r="B26" s="8" t="n">
        <f aca="false">B25-B24</f>
        <v>2</v>
      </c>
      <c r="C26" s="8"/>
      <c r="D26" s="8"/>
      <c r="E26" s="8"/>
    </row>
    <row r="27" customFormat="false" ht="15" hidden="false" customHeight="true" outlineLevel="0" collapsed="false">
      <c r="A27" s="8" t="s">
        <v>47</v>
      </c>
      <c r="B27" s="10" t="n">
        <v>4</v>
      </c>
      <c r="C27" s="8"/>
      <c r="D27" s="8"/>
      <c r="E27" s="8"/>
    </row>
    <row r="28" customFormat="false" ht="15" hidden="false" customHeight="true" outlineLevel="0" collapsed="false">
      <c r="A28" s="8"/>
      <c r="B28" s="8"/>
      <c r="C28" s="8"/>
      <c r="D28" s="8"/>
      <c r="E28" s="8"/>
    </row>
    <row r="29" customFormat="false" ht="15" hidden="false" customHeight="true" outlineLevel="0" collapsed="false">
      <c r="A29" s="4" t="s">
        <v>48</v>
      </c>
      <c r="B29" s="8"/>
      <c r="C29" s="8"/>
      <c r="D29" s="8"/>
      <c r="E29" s="8"/>
    </row>
    <row r="30" customFormat="false" ht="15" hidden="false" customHeight="true" outlineLevel="0" collapsed="false">
      <c r="A30" s="8" t="s">
        <v>49</v>
      </c>
      <c r="B30" s="11" t="n">
        <v>0.91</v>
      </c>
      <c r="C30" s="8"/>
      <c r="D30" s="8"/>
      <c r="E30" s="8"/>
    </row>
    <row r="31" customFormat="false" ht="15" hidden="false" customHeight="true" outlineLevel="0" collapsed="false">
      <c r="A31" s="8" t="s">
        <v>50</v>
      </c>
      <c r="B31" s="11" t="n">
        <v>1.55</v>
      </c>
      <c r="C31" s="8"/>
      <c r="D31" s="8"/>
      <c r="E31" s="8"/>
    </row>
    <row r="32" customFormat="false" ht="15" hidden="false" customHeight="true" outlineLevel="0" collapsed="false">
      <c r="A32" s="8" t="s">
        <v>51</v>
      </c>
      <c r="B32" s="11" t="n">
        <v>1.9</v>
      </c>
      <c r="C32" s="8"/>
      <c r="D32" s="8"/>
      <c r="E32" s="8"/>
    </row>
    <row r="33" customFormat="false" ht="15" hidden="false" customHeight="true" outlineLevel="0" collapsed="false">
      <c r="A33" s="9" t="s">
        <v>52</v>
      </c>
      <c r="B33" s="9" t="s">
        <v>53</v>
      </c>
      <c r="C33" s="9" t="s">
        <v>54</v>
      </c>
      <c r="D33" s="9" t="s">
        <v>55</v>
      </c>
      <c r="E33" s="8"/>
    </row>
    <row r="34" customFormat="false" ht="15" hidden="false" customHeight="true" outlineLevel="0" collapsed="false">
      <c r="A34" s="8" t="n">
        <v>1</v>
      </c>
      <c r="B34" s="12" t="n">
        <f aca="false">A34*$B$30</f>
        <v>0.91</v>
      </c>
      <c r="C34" s="12" t="n">
        <f aca="false">IF(($B$8+A34*$B$19+$B$18)&lt;=$B$21,$B$31,$B$32)</f>
        <v>1.55</v>
      </c>
      <c r="D34" s="12" t="n">
        <f aca="false">B34-C34</f>
        <v>-0.64</v>
      </c>
      <c r="E34" s="8"/>
    </row>
    <row r="35" customFormat="false" ht="15" hidden="false" customHeight="true" outlineLevel="0" collapsed="false">
      <c r="A35" s="8" t="n">
        <v>2</v>
      </c>
      <c r="B35" s="12" t="n">
        <f aca="false">A35*$B$30</f>
        <v>1.82</v>
      </c>
      <c r="C35" s="12" t="n">
        <f aca="false">IF(($B$8+A35*$B$19+$B$18)&lt;=$B$21,$B$31,$B$32)</f>
        <v>1.55</v>
      </c>
      <c r="D35" s="12" t="n">
        <f aca="false">B35-C35</f>
        <v>0.27</v>
      </c>
      <c r="E35" s="8"/>
    </row>
    <row r="36" customFormat="false" ht="15" hidden="false" customHeight="true" outlineLevel="0" collapsed="false">
      <c r="A36" s="8" t="n">
        <v>3</v>
      </c>
      <c r="B36" s="12" t="n">
        <f aca="false">A36*$B$30</f>
        <v>2.73</v>
      </c>
      <c r="C36" s="12" t="n">
        <f aca="false">IF(($B$8+A36*$B$19+$B$18)&lt;=$B$21,$B$31,$B$32)</f>
        <v>1.55</v>
      </c>
      <c r="D36" s="12" t="n">
        <f aca="false">B36-C36</f>
        <v>1.18</v>
      </c>
      <c r="E36" s="8"/>
    </row>
    <row r="37" customFormat="false" ht="15" hidden="false" customHeight="true" outlineLevel="0" collapsed="false">
      <c r="A37" s="8" t="n">
        <v>4</v>
      </c>
      <c r="B37" s="12" t="n">
        <f aca="false">A37*$B$30</f>
        <v>3.64</v>
      </c>
      <c r="C37" s="12" t="n">
        <f aca="false">IF(($B$8+A37*$B$19+$B$18)&lt;=$B$21,$B$31,$B$32)</f>
        <v>1.55</v>
      </c>
      <c r="D37" s="12" t="n">
        <f aca="false">B37-C37</f>
        <v>2.09</v>
      </c>
      <c r="E37" s="8"/>
    </row>
    <row r="38" customFormat="false" ht="15" hidden="false" customHeight="true" outlineLevel="0" collapsed="false">
      <c r="A38" s="8"/>
      <c r="B38" s="8"/>
      <c r="C38" s="8"/>
      <c r="D38" s="8"/>
      <c r="E38" s="8"/>
    </row>
    <row r="39" customFormat="false" ht="15" hidden="false" customHeight="true" outlineLevel="0" collapsed="false">
      <c r="A39" s="7" t="s">
        <v>56</v>
      </c>
      <c r="B39" s="8"/>
      <c r="C39" s="8"/>
      <c r="D39" s="8"/>
      <c r="E39" s="8"/>
    </row>
    <row r="40" customFormat="false" ht="15" hidden="false" customHeight="false" outlineLevel="0" collapsed="false">
      <c r="A40" s="13" t="s">
        <v>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6" min="4" style="1" width="12"/>
    <col collapsed="false" customWidth="true" hidden="false" outlineLevel="0" max="7" min="7" style="1" width="40"/>
    <col collapsed="false" customWidth="true" hidden="false" outlineLevel="0" max="8" min="8" style="1" width="60"/>
  </cols>
  <sheetData>
    <row r="1" customFormat="false" ht="25.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4" t="s">
        <v>59</v>
      </c>
      <c r="B3" s="14" t="n">
        <v>46237</v>
      </c>
    </row>
    <row r="5" customFormat="false" ht="15" hidden="false" customHeight="true" outlineLevel="0" collapsed="false">
      <c r="A5" s="15" t="s">
        <v>60</v>
      </c>
    </row>
    <row r="6" customFormat="false" ht="23.25" hidden="false" customHeight="true" outlineLevel="0" collapsed="false">
      <c r="A6" s="16" t="s">
        <v>61</v>
      </c>
      <c r="B6" s="16" t="s">
        <v>62</v>
      </c>
      <c r="C6" s="16" t="s">
        <v>63</v>
      </c>
      <c r="D6" s="16" t="s">
        <v>64</v>
      </c>
      <c r="E6" s="16" t="s">
        <v>65</v>
      </c>
      <c r="F6" s="16" t="s">
        <v>66</v>
      </c>
      <c r="G6" s="16"/>
      <c r="H6" s="17" t="s">
        <v>67</v>
      </c>
    </row>
    <row r="7" customFormat="false" ht="15" hidden="false" customHeight="true" outlineLevel="0" collapsed="false">
      <c r="A7" s="18" t="s">
        <v>68</v>
      </c>
      <c r="B7" s="19" t="s">
        <v>69</v>
      </c>
      <c r="C7" s="18" t="str">
        <f aca="false">IF(B7="","",IF(B7&lt;5,"Y","N"))</f>
        <v>N</v>
      </c>
      <c r="D7" s="19"/>
      <c r="E7" s="18"/>
      <c r="F7" s="18"/>
      <c r="G7" s="18"/>
    </row>
    <row r="8" customFormat="false" ht="15" hidden="false" customHeight="true" outlineLevel="0" collapsed="false">
      <c r="A8" s="18" t="s">
        <v>70</v>
      </c>
      <c r="B8" s="19" t="n">
        <v>4</v>
      </c>
      <c r="C8" s="18" t="str">
        <f aca="false">IF(B8="","",IF(B8&lt;5,"Y","N"))</f>
        <v>Y</v>
      </c>
      <c r="D8" s="19"/>
      <c r="E8" s="18" t="s">
        <v>71</v>
      </c>
      <c r="F8" s="18" t="n">
        <v>0.91</v>
      </c>
      <c r="G8" s="18" t="s">
        <v>72</v>
      </c>
    </row>
    <row r="9" customFormat="false" ht="15" hidden="false" customHeight="true" outlineLevel="0" collapsed="false">
      <c r="A9" s="18" t="s">
        <v>73</v>
      </c>
      <c r="B9" s="19" t="s">
        <v>69</v>
      </c>
      <c r="C9" s="18" t="str">
        <f aca="false">IF(B9="","",IF(B9&lt;5,"Y","N"))</f>
        <v>N</v>
      </c>
      <c r="D9" s="19"/>
      <c r="E9" s="18"/>
      <c r="F9" s="18"/>
      <c r="G9" s="18"/>
    </row>
    <row r="10" customFormat="false" ht="15" hidden="false" customHeight="true" outlineLevel="0" collapsed="false">
      <c r="A10" s="18" t="s">
        <v>74</v>
      </c>
      <c r="B10" s="19" t="n">
        <v>3</v>
      </c>
      <c r="C10" s="18" t="str">
        <f aca="false">IF(B10="","",IF(B10&lt;5,"Y","N"))</f>
        <v>Y</v>
      </c>
      <c r="D10" s="19"/>
      <c r="E10" s="18" t="s">
        <v>75</v>
      </c>
      <c r="F10" s="18" t="n">
        <v>1.55</v>
      </c>
      <c r="G10" s="18" t="s">
        <v>76</v>
      </c>
      <c r="H10" s="20" t="s">
        <v>77</v>
      </c>
    </row>
    <row r="11" customFormat="false" ht="15" hidden="false" customHeight="true" outlineLevel="0" collapsed="false">
      <c r="A11" s="18" t="s">
        <v>78</v>
      </c>
      <c r="B11" s="19" t="s">
        <v>79</v>
      </c>
      <c r="C11" s="18" t="s">
        <v>80</v>
      </c>
      <c r="D11" s="19"/>
      <c r="E11" s="18" t="s">
        <v>81</v>
      </c>
      <c r="F11" s="18" t="n">
        <v>0.91</v>
      </c>
      <c r="G11" s="18" t="s">
        <v>82</v>
      </c>
    </row>
    <row r="12" customFormat="false" ht="14.25" hidden="false" customHeight="true" outlineLevel="0" collapsed="false">
      <c r="A12" s="1" t="s">
        <v>83</v>
      </c>
      <c r="B12" s="21" t="n">
        <v>23</v>
      </c>
      <c r="C12" s="1" t="str">
        <f aca="false">IF(B12="","",IF(B12&lt;5,"Y","N"))</f>
        <v>N</v>
      </c>
      <c r="E12" s="1" t="s">
        <v>84</v>
      </c>
      <c r="F12" s="1" t="n">
        <v>1.55</v>
      </c>
      <c r="G12" s="1" t="s">
        <v>85</v>
      </c>
    </row>
    <row r="13" customFormat="false" ht="15" hidden="false" customHeight="true" outlineLevel="0" collapsed="false">
      <c r="A13" s="15" t="s">
        <v>86</v>
      </c>
    </row>
    <row r="14" customFormat="false" ht="23.25" hidden="false" customHeight="true" outlineLevel="0" collapsed="false">
      <c r="A14" s="16" t="s">
        <v>61</v>
      </c>
      <c r="B14" s="16" t="s">
        <v>87</v>
      </c>
      <c r="C14" s="16" t="s">
        <v>88</v>
      </c>
      <c r="D14" s="16" t="s">
        <v>89</v>
      </c>
      <c r="E14" s="16" t="s">
        <v>90</v>
      </c>
      <c r="F14" s="16"/>
      <c r="G14" s="16" t="s">
        <v>67</v>
      </c>
    </row>
    <row r="15" customFormat="false" ht="15" hidden="false" customHeight="true" outlineLevel="0" collapsed="false">
      <c r="A15" s="18" t="s">
        <v>68</v>
      </c>
      <c r="B15" s="19"/>
      <c r="C15" s="19"/>
      <c r="D15" s="19"/>
      <c r="E15" s="19"/>
      <c r="F15" s="18"/>
      <c r="G15" s="22"/>
    </row>
    <row r="16" customFormat="false" ht="15" hidden="false" customHeight="true" outlineLevel="0" collapsed="false">
      <c r="A16" s="18" t="s">
        <v>70</v>
      </c>
      <c r="B16" s="19"/>
      <c r="C16" s="19"/>
      <c r="D16" s="19"/>
      <c r="E16" s="19"/>
      <c r="F16" s="18"/>
      <c r="G16" s="22"/>
    </row>
    <row r="17" customFormat="false" ht="15" hidden="false" customHeight="true" outlineLevel="0" collapsed="false">
      <c r="A17" s="18" t="s">
        <v>73</v>
      </c>
      <c r="B17" s="19"/>
      <c r="C17" s="19"/>
      <c r="D17" s="19"/>
      <c r="E17" s="19"/>
      <c r="F17" s="18"/>
      <c r="G17" s="22"/>
    </row>
    <row r="18" customFormat="false" ht="15" hidden="false" customHeight="true" outlineLevel="0" collapsed="false">
      <c r="A18" s="18" t="s">
        <v>74</v>
      </c>
      <c r="B18" s="19"/>
      <c r="C18" s="19"/>
      <c r="D18" s="19"/>
      <c r="E18" s="19"/>
      <c r="F18" s="18"/>
      <c r="G18" s="22"/>
    </row>
    <row r="19" customFormat="false" ht="15" hidden="false" customHeight="true" outlineLevel="0" collapsed="false">
      <c r="A19" s="18" t="s">
        <v>78</v>
      </c>
      <c r="B19" s="19" t="s">
        <v>91</v>
      </c>
      <c r="C19" s="19" t="s">
        <v>91</v>
      </c>
      <c r="D19" s="19" t="s">
        <v>91</v>
      </c>
      <c r="E19" s="19" t="s">
        <v>91</v>
      </c>
      <c r="F19" s="18"/>
      <c r="G19" s="22" t="s">
        <v>92</v>
      </c>
    </row>
    <row r="20" customFormat="false" ht="14.25" hidden="false" customHeight="true" outlineLevel="0" collapsed="false">
      <c r="A20" s="1" t="s">
        <v>83</v>
      </c>
      <c r="B20" s="1" t="s">
        <v>91</v>
      </c>
      <c r="C20" s="1" t="s">
        <v>91</v>
      </c>
      <c r="D20" s="1" t="s">
        <v>91</v>
      </c>
      <c r="E20" s="1" t="s">
        <v>91</v>
      </c>
      <c r="G20" s="1" t="s">
        <v>92</v>
      </c>
    </row>
    <row r="21" customFormat="false" ht="15" hidden="false" customHeight="true" outlineLevel="0" collapsed="false">
      <c r="A21" s="15" t="s">
        <v>93</v>
      </c>
    </row>
    <row r="22" customFormat="false" ht="23.25" hidden="false" customHeight="true" outlineLevel="0" collapsed="false">
      <c r="A22" s="16" t="s">
        <v>61</v>
      </c>
      <c r="B22" s="16" t="s">
        <v>94</v>
      </c>
      <c r="C22" s="16" t="s">
        <v>95</v>
      </c>
      <c r="D22" s="16" t="s">
        <v>96</v>
      </c>
      <c r="E22" s="16" t="s">
        <v>97</v>
      </c>
      <c r="F22" s="16" t="s">
        <v>98</v>
      </c>
      <c r="G22" s="16" t="s">
        <v>67</v>
      </c>
    </row>
    <row r="23" customFormat="false" ht="15" hidden="false" customHeight="true" outlineLevel="0" collapsed="false">
      <c r="A23" s="18" t="s">
        <v>68</v>
      </c>
      <c r="B23" s="19"/>
      <c r="C23" s="19"/>
      <c r="D23" s="19"/>
      <c r="E23" s="19"/>
      <c r="F23" s="19"/>
      <c r="G23" s="22"/>
    </row>
    <row r="24" customFormat="false" ht="15" hidden="false" customHeight="true" outlineLevel="0" collapsed="false">
      <c r="A24" s="18" t="s">
        <v>70</v>
      </c>
      <c r="B24" s="19"/>
      <c r="C24" s="19"/>
      <c r="D24" s="19"/>
      <c r="E24" s="19"/>
      <c r="F24" s="19"/>
      <c r="G24" s="22"/>
    </row>
    <row r="25" customFormat="false" ht="15" hidden="false" customHeight="true" outlineLevel="0" collapsed="false">
      <c r="A25" s="18" t="s">
        <v>73</v>
      </c>
      <c r="B25" s="19"/>
      <c r="C25" s="19"/>
      <c r="D25" s="19"/>
      <c r="E25" s="19"/>
      <c r="F25" s="19"/>
      <c r="G25" s="22"/>
    </row>
    <row r="26" customFormat="false" ht="15" hidden="false" customHeight="true" outlineLevel="0" collapsed="false">
      <c r="A26" s="18" t="s">
        <v>74</v>
      </c>
      <c r="B26" s="19"/>
      <c r="C26" s="19"/>
      <c r="D26" s="19"/>
      <c r="E26" s="19"/>
      <c r="F26" s="19"/>
      <c r="G26" s="22"/>
    </row>
    <row r="27" customFormat="false" ht="15" hidden="false" customHeight="true" outlineLevel="0" collapsed="false">
      <c r="A27" s="18" t="s">
        <v>78</v>
      </c>
      <c r="B27" s="19" t="s">
        <v>99</v>
      </c>
      <c r="C27" s="19" t="s">
        <v>100</v>
      </c>
      <c r="D27" s="19" t="s">
        <v>101</v>
      </c>
      <c r="E27" s="19" t="s">
        <v>101</v>
      </c>
      <c r="F27" s="19" t="s">
        <v>101</v>
      </c>
      <c r="G27" s="22" t="s">
        <v>102</v>
      </c>
    </row>
    <row r="28" customFormat="false" ht="14.25" hidden="false" customHeight="true" outlineLevel="0" collapsed="false">
      <c r="A28" s="1" t="s">
        <v>83</v>
      </c>
      <c r="B28" s="1" t="s">
        <v>99</v>
      </c>
      <c r="C28" s="1" t="s">
        <v>100</v>
      </c>
      <c r="D28" s="1" t="s">
        <v>101</v>
      </c>
      <c r="E28" s="1" t="s">
        <v>101</v>
      </c>
      <c r="F28" s="1" t="s">
        <v>101</v>
      </c>
      <c r="G28" s="1" t="s">
        <v>102</v>
      </c>
    </row>
    <row r="29" customFormat="false" ht="15" hidden="false" customHeight="true" outlineLevel="0" collapsed="false">
      <c r="A29" s="15" t="s">
        <v>103</v>
      </c>
    </row>
    <row r="30" customFormat="false" ht="15" hidden="false" customHeight="true" outlineLevel="0" collapsed="false">
      <c r="A30" s="4" t="s">
        <v>104</v>
      </c>
      <c r="B30" s="19" t="s">
        <v>105</v>
      </c>
    </row>
    <row r="31" customFormat="false" ht="30" hidden="false" customHeight="true" outlineLevel="0" collapsed="false">
      <c r="A31" s="23" t="s">
        <v>106</v>
      </c>
      <c r="B31" s="23"/>
      <c r="C31" s="23"/>
      <c r="D31" s="23"/>
      <c r="E31" s="23"/>
      <c r="F31" s="23"/>
      <c r="G31" s="23"/>
    </row>
    <row r="32" customFormat="false" ht="54" hidden="false" customHeight="true" outlineLevel="0" collapsed="false">
      <c r="A32" s="23" t="s">
        <v>107</v>
      </c>
      <c r="B32" s="23"/>
      <c r="C32" s="23"/>
      <c r="D32" s="23"/>
      <c r="E32" s="23"/>
      <c r="F32" s="23"/>
      <c r="G32" s="23"/>
    </row>
    <row r="33" customFormat="false" ht="60" hidden="false" customHeight="true" outlineLevel="0" collapsed="false">
      <c r="A33" s="24" t="s">
        <v>108</v>
      </c>
      <c r="B33" s="24"/>
      <c r="C33" s="24"/>
      <c r="D33" s="24"/>
      <c r="E33" s="24"/>
      <c r="F33" s="24"/>
      <c r="G33" s="24"/>
    </row>
    <row r="34" customFormat="false" ht="45" hidden="false" customHeight="true" outlineLevel="0" collapsed="false">
      <c r="A34" s="24" t="s">
        <v>109</v>
      </c>
      <c r="B34" s="24"/>
      <c r="C34" s="24"/>
      <c r="D34" s="24"/>
      <c r="E34" s="24"/>
      <c r="F34" s="24"/>
      <c r="G34" s="24"/>
    </row>
  </sheetData>
  <mergeCells count="5">
    <mergeCell ref="A1:G1"/>
    <mergeCell ref="A31:G31"/>
    <mergeCell ref="A32:G32"/>
    <mergeCell ref="A33:G33"/>
    <mergeCell ref="A34:G34"/>
  </mergeCells>
  <dataValidations count="2">
    <dataValidation allowBlank="true" errorStyle="stop" operator="between" showDropDown="false" showErrorMessage="false" showInputMessage="false" sqref="B15:E19" type="list">
      <formula1>"Pass,Fail"</formula1>
      <formula2>0</formula2>
    </dataValidation>
    <dataValidation allowBlank="true" errorStyle="stop" operator="between" showDropDown="false" showErrorMessage="false" showInputMessage="false" sqref="D23:F2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B22" activeCellId="0" sqref="B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" t="s">
        <v>110</v>
      </c>
      <c r="B1" s="2"/>
      <c r="C1" s="2"/>
      <c r="D1" s="2"/>
      <c r="E1" s="2"/>
    </row>
    <row r="2" customFormat="false" ht="14.25" hidden="false" customHeight="true" outlineLevel="0" collapsed="false">
      <c r="A2" s="25" t="s">
        <v>111</v>
      </c>
    </row>
    <row r="3" customFormat="false" ht="15" hidden="false" customHeight="true" outlineLevel="0" collapsed="false">
      <c r="A3" s="4" t="s">
        <v>112</v>
      </c>
      <c r="B3" s="14" t="n">
        <v>46237</v>
      </c>
    </row>
    <row r="4" customFormat="false" ht="15" hidden="false" customHeight="true" outlineLevel="0" collapsed="false">
      <c r="A4" s="4" t="s">
        <v>113</v>
      </c>
      <c r="B4" s="19" t="s">
        <v>114</v>
      </c>
    </row>
    <row r="6" customFormat="false" ht="15" hidden="false" customHeight="true" outlineLevel="0" collapsed="false">
      <c r="A6" s="15" t="s">
        <v>115</v>
      </c>
    </row>
    <row r="7" customFormat="false" ht="15" hidden="false" customHeight="true" outlineLevel="0" collapsed="false">
      <c r="A7" s="16" t="s">
        <v>116</v>
      </c>
      <c r="B7" s="16" t="s">
        <v>117</v>
      </c>
      <c r="C7" s="16" t="s">
        <v>118</v>
      </c>
      <c r="D7" s="16" t="s">
        <v>119</v>
      </c>
      <c r="E7" s="16" t="s">
        <v>67</v>
      </c>
    </row>
    <row r="8" customFormat="false" ht="15" hidden="false" customHeight="true" outlineLevel="0" collapsed="false">
      <c r="A8" s="18" t="s">
        <v>120</v>
      </c>
      <c r="B8" s="19" t="s">
        <v>91</v>
      </c>
      <c r="C8" s="19" t="s">
        <v>121</v>
      </c>
      <c r="D8" s="19" t="s">
        <v>80</v>
      </c>
      <c r="E8" s="22"/>
    </row>
    <row r="9" customFormat="false" ht="15" hidden="false" customHeight="true" outlineLevel="0" collapsed="false">
      <c r="A9" s="18" t="s">
        <v>122</v>
      </c>
      <c r="B9" s="19" t="s">
        <v>91</v>
      </c>
      <c r="C9" s="19" t="s">
        <v>121</v>
      </c>
      <c r="D9" s="19" t="s">
        <v>80</v>
      </c>
      <c r="E9" s="22"/>
    </row>
    <row r="10" customFormat="false" ht="15" hidden="false" customHeight="true" outlineLevel="0" collapsed="false">
      <c r="A10" s="18" t="s">
        <v>123</v>
      </c>
      <c r="B10" s="19" t="s">
        <v>91</v>
      </c>
      <c r="C10" s="19" t="s">
        <v>80</v>
      </c>
      <c r="D10" s="19" t="s">
        <v>121</v>
      </c>
      <c r="E10" s="22"/>
    </row>
    <row r="12" customFormat="false" ht="15" hidden="false" customHeight="true" outlineLevel="0" collapsed="false">
      <c r="A12" s="4" t="s">
        <v>124</v>
      </c>
      <c r="B12" s="18" t="s">
        <v>123</v>
      </c>
    </row>
    <row r="14" customFormat="false" ht="15" hidden="false" customHeight="true" outlineLevel="0" collapsed="false">
      <c r="A14" s="15" t="s">
        <v>125</v>
      </c>
    </row>
    <row r="15" customFormat="false" ht="23.25" hidden="false" customHeight="true" outlineLevel="0" collapsed="false">
      <c r="A15" s="16" t="s">
        <v>126</v>
      </c>
      <c r="B15" s="16" t="s">
        <v>127</v>
      </c>
      <c r="C15" s="16" t="s">
        <v>128</v>
      </c>
      <c r="D15" s="16"/>
      <c r="E15" s="16" t="s">
        <v>67</v>
      </c>
    </row>
    <row r="16" customFormat="false" ht="15" hidden="false" customHeight="true" outlineLevel="0" collapsed="false">
      <c r="A16" s="18" t="n">
        <v>1</v>
      </c>
      <c r="B16" s="19" t="s">
        <v>80</v>
      </c>
      <c r="C16" s="19" t="s">
        <v>80</v>
      </c>
      <c r="D16" s="18"/>
      <c r="E16" s="22"/>
    </row>
    <row r="17" customFormat="false" ht="15" hidden="false" customHeight="true" outlineLevel="0" collapsed="false">
      <c r="A17" s="18" t="n">
        <v>2</v>
      </c>
      <c r="B17" s="19" t="s">
        <v>121</v>
      </c>
      <c r="C17" s="19" t="s">
        <v>80</v>
      </c>
      <c r="D17" s="18"/>
      <c r="E17" s="22"/>
    </row>
    <row r="18" customFormat="false" ht="15" hidden="false" customHeight="true" outlineLevel="0" collapsed="false">
      <c r="A18" s="18" t="n">
        <v>3</v>
      </c>
      <c r="B18" s="19" t="s">
        <v>80</v>
      </c>
      <c r="C18" s="19" t="s">
        <v>121</v>
      </c>
      <c r="D18" s="18"/>
      <c r="E18" s="22"/>
    </row>
    <row r="20" customFormat="false" ht="15" hidden="false" customHeight="true" outlineLevel="0" collapsed="false">
      <c r="A20" s="4" t="s">
        <v>129</v>
      </c>
      <c r="C20" s="19" t="s">
        <v>130</v>
      </c>
    </row>
    <row r="22" customFormat="false" ht="15" hidden="false" customHeight="true" outlineLevel="0" collapsed="false">
      <c r="A22" s="15" t="s">
        <v>103</v>
      </c>
      <c r="B22" s="1" t="s">
        <v>131</v>
      </c>
    </row>
    <row r="23" customFormat="false" ht="39.75" hidden="false" customHeight="true" outlineLevel="0" collapsed="false">
      <c r="A23" s="23" t="s">
        <v>132</v>
      </c>
      <c r="B23" s="23"/>
      <c r="C23" s="23"/>
      <c r="D23" s="23"/>
      <c r="E23" s="23"/>
    </row>
  </sheetData>
  <mergeCells count="2">
    <mergeCell ref="A1:E1"/>
    <mergeCell ref="A23:E23"/>
  </mergeCells>
  <dataValidations count="2">
    <dataValidation allowBlank="true" errorStyle="stop" operator="between" showDropDown="false" showErrorMessage="false" showInputMessage="false" sqref="B8:B10" type="list">
      <formula1>"Pass,Fail"</formula1>
      <formula2>0</formula2>
    </dataValidation>
    <dataValidation allowBlank="true" errorStyle="stop" operator="between" showDropDown="false" showErrorMessage="false" showInputMessage="false" sqref="C8:D10 B16:C1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133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112</v>
      </c>
      <c r="B3" s="19"/>
    </row>
    <row r="4" customFormat="false" ht="30" hidden="false" customHeight="true" outlineLevel="0" collapsed="false">
      <c r="A4" s="23" t="s">
        <v>134</v>
      </c>
      <c r="B4" s="23"/>
      <c r="C4" s="23"/>
      <c r="D4" s="23"/>
      <c r="E4" s="23"/>
      <c r="F4" s="23"/>
    </row>
    <row r="6" customFormat="false" ht="23.25" hidden="false" customHeight="true" outlineLevel="0" collapsed="false">
      <c r="A6" s="16" t="s">
        <v>135</v>
      </c>
      <c r="B6" s="16" t="s">
        <v>136</v>
      </c>
      <c r="C6" s="16" t="s">
        <v>137</v>
      </c>
      <c r="D6" s="16" t="s">
        <v>138</v>
      </c>
      <c r="E6" s="16" t="s">
        <v>139</v>
      </c>
      <c r="F6" s="16" t="s">
        <v>67</v>
      </c>
    </row>
    <row r="7" customFormat="false" ht="15" hidden="false" customHeight="true" outlineLevel="0" collapsed="false">
      <c r="A7" s="18" t="s">
        <v>140</v>
      </c>
      <c r="B7" s="18" t="s">
        <v>141</v>
      </c>
      <c r="C7" s="18" t="s">
        <v>142</v>
      </c>
      <c r="D7" s="19"/>
      <c r="E7" s="19"/>
      <c r="F7" s="22"/>
    </row>
    <row r="8" customFormat="false" ht="15" hidden="false" customHeight="true" outlineLevel="0" collapsed="false">
      <c r="A8" s="18"/>
      <c r="B8" s="18"/>
      <c r="C8" s="18" t="s">
        <v>143</v>
      </c>
      <c r="D8" s="19"/>
      <c r="E8" s="19"/>
      <c r="F8" s="22"/>
    </row>
    <row r="9" customFormat="false" ht="15" hidden="false" customHeight="true" outlineLevel="0" collapsed="false">
      <c r="A9" s="18"/>
      <c r="B9" s="18"/>
      <c r="C9" s="18" t="s">
        <v>144</v>
      </c>
      <c r="D9" s="19"/>
      <c r="E9" s="19"/>
      <c r="F9" s="22"/>
    </row>
    <row r="10" customFormat="false" ht="15" hidden="false" customHeight="true" outlineLevel="0" collapsed="false">
      <c r="A10" s="18" t="s">
        <v>145</v>
      </c>
      <c r="B10" s="18" t="s">
        <v>146</v>
      </c>
      <c r="C10" s="18" t="s">
        <v>142</v>
      </c>
      <c r="D10" s="19"/>
      <c r="E10" s="19"/>
      <c r="F10" s="22"/>
    </row>
    <row r="11" customFormat="false" ht="15" hidden="false" customHeight="true" outlineLevel="0" collapsed="false">
      <c r="A11" s="18"/>
      <c r="B11" s="18"/>
      <c r="C11" s="18" t="s">
        <v>143</v>
      </c>
      <c r="D11" s="19"/>
      <c r="E11" s="19"/>
      <c r="F11" s="22"/>
    </row>
    <row r="12" customFormat="false" ht="15" hidden="false" customHeight="true" outlineLevel="0" collapsed="false">
      <c r="A12" s="18"/>
      <c r="B12" s="18"/>
      <c r="C12" s="18" t="s">
        <v>144</v>
      </c>
      <c r="D12" s="19"/>
      <c r="E12" s="19"/>
      <c r="F12" s="22"/>
    </row>
    <row r="13" customFormat="false" ht="15" hidden="false" customHeight="true" outlineLevel="0" collapsed="false">
      <c r="A13" s="18" t="s">
        <v>147</v>
      </c>
      <c r="B13" s="18" t="s">
        <v>148</v>
      </c>
      <c r="C13" s="18" t="s">
        <v>142</v>
      </c>
      <c r="D13" s="19"/>
      <c r="E13" s="19"/>
      <c r="F13" s="22"/>
    </row>
    <row r="14" customFormat="false" ht="15" hidden="false" customHeight="true" outlineLevel="0" collapsed="false">
      <c r="A14" s="18"/>
      <c r="B14" s="18"/>
      <c r="C14" s="18" t="s">
        <v>143</v>
      </c>
      <c r="D14" s="19"/>
      <c r="E14" s="19"/>
      <c r="F14" s="22"/>
    </row>
    <row r="15" customFormat="false" ht="15" hidden="false" customHeight="true" outlineLevel="0" collapsed="false">
      <c r="A15" s="18"/>
      <c r="B15" s="18"/>
      <c r="C15" s="18" t="s">
        <v>144</v>
      </c>
      <c r="D15" s="19"/>
      <c r="E15" s="19"/>
      <c r="F15" s="22"/>
    </row>
    <row r="16" customFormat="false" ht="15" hidden="false" customHeight="true" outlineLevel="0" collapsed="false">
      <c r="A16" s="18" t="s">
        <v>149</v>
      </c>
      <c r="B16" s="18" t="s">
        <v>150</v>
      </c>
      <c r="C16" s="18" t="s">
        <v>142</v>
      </c>
      <c r="D16" s="19"/>
      <c r="E16" s="19"/>
      <c r="F16" s="22"/>
    </row>
    <row r="17" customFormat="false" ht="15" hidden="false" customHeight="true" outlineLevel="0" collapsed="false">
      <c r="A17" s="18"/>
      <c r="B17" s="18"/>
      <c r="C17" s="18" t="s">
        <v>143</v>
      </c>
      <c r="D17" s="19"/>
      <c r="E17" s="19"/>
      <c r="F17" s="22"/>
    </row>
    <row r="18" customFormat="false" ht="15" hidden="false" customHeight="true" outlineLevel="0" collapsed="false">
      <c r="A18" s="18"/>
      <c r="B18" s="18"/>
      <c r="C18" s="18" t="s">
        <v>144</v>
      </c>
      <c r="D18" s="19"/>
      <c r="E18" s="19"/>
      <c r="F18" s="22"/>
    </row>
    <row r="19" customFormat="false" ht="15" hidden="false" customHeight="true" outlineLevel="0" collapsed="false">
      <c r="A19" s="18" t="s">
        <v>151</v>
      </c>
      <c r="B19" s="18" t="s">
        <v>152</v>
      </c>
      <c r="C19" s="18" t="s">
        <v>142</v>
      </c>
      <c r="D19" s="19"/>
      <c r="E19" s="19"/>
      <c r="F19" s="22"/>
    </row>
    <row r="20" customFormat="false" ht="15" hidden="false" customHeight="true" outlineLevel="0" collapsed="false">
      <c r="A20" s="18"/>
      <c r="B20" s="18"/>
      <c r="C20" s="18" t="s">
        <v>143</v>
      </c>
      <c r="D20" s="19"/>
      <c r="E20" s="19"/>
      <c r="F20" s="22"/>
    </row>
    <row r="21" customFormat="false" ht="15" hidden="false" customHeight="true" outlineLevel="0" collapsed="false">
      <c r="A21" s="18"/>
      <c r="B21" s="18"/>
      <c r="C21" s="18" t="s">
        <v>144</v>
      </c>
      <c r="D21" s="19"/>
      <c r="E21" s="19"/>
      <c r="F21" s="22"/>
    </row>
    <row r="23" customFormat="false" ht="15" hidden="false" customHeight="true" outlineLevel="0" collapsed="false">
      <c r="A23" s="26" t="s">
        <v>153</v>
      </c>
      <c r="B23" s="26"/>
      <c r="C23" s="26"/>
      <c r="D23" s="19"/>
      <c r="E23" s="19"/>
      <c r="F23" s="19"/>
    </row>
    <row r="25" customFormat="false" ht="30" hidden="false" customHeight="true" outlineLevel="0" collapsed="false">
      <c r="A25" s="23" t="s">
        <v>154</v>
      </c>
      <c r="B25" s="23"/>
      <c r="C25" s="23"/>
      <c r="D25" s="23"/>
      <c r="E25" s="23"/>
      <c r="F25" s="23"/>
    </row>
  </sheetData>
  <mergeCells count="5">
    <mergeCell ref="A1:F1"/>
    <mergeCell ref="A4:F4"/>
    <mergeCell ref="A23:C23"/>
    <mergeCell ref="D23:F23"/>
    <mergeCell ref="A25:F25"/>
  </mergeCells>
  <dataValidations count="2">
    <dataValidation allowBlank="true" errorStyle="stop" operator="between" showDropDown="false" showErrorMessage="false" showInputMessage="false" sqref="D7:D21" type="list">
      <formula1>"Pass,Marginal,Fail"</formula1>
      <formula2>0</formula2>
    </dataValidation>
    <dataValidation allowBlank="true" errorStyle="stop" operator="between" showDropDown="false" showErrorMessage="false" showInputMessage="false" sqref="E7:E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6" min="3" style="1" width="30"/>
  </cols>
  <sheetData>
    <row r="1" customFormat="false" ht="25.5" hidden="false" customHeight="true" outlineLevel="0" collapsed="false">
      <c r="A1" s="2" t="s">
        <v>155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27" t="s">
        <v>156</v>
      </c>
      <c r="B3" s="27"/>
      <c r="C3" s="27"/>
      <c r="D3" s="27"/>
      <c r="E3" s="27"/>
      <c r="F3" s="27"/>
    </row>
    <row r="5" customFormat="false" ht="15" hidden="false" customHeight="true" outlineLevel="0" collapsed="false">
      <c r="A5" s="4" t="s">
        <v>157</v>
      </c>
      <c r="B5" s="19"/>
      <c r="C5" s="19"/>
      <c r="D5" s="4" t="s">
        <v>158</v>
      </c>
      <c r="E5" s="19"/>
      <c r="F5" s="19"/>
    </row>
    <row r="7" customFormat="false" ht="30" hidden="false" customHeight="true" outlineLevel="0" collapsed="false">
      <c r="A7" s="23" t="s">
        <v>159</v>
      </c>
      <c r="B7" s="23"/>
      <c r="C7" s="23"/>
      <c r="D7" s="23"/>
      <c r="E7" s="23"/>
      <c r="F7" s="23"/>
    </row>
    <row r="9" customFormat="false" ht="15" hidden="false" customHeight="true" outlineLevel="0" collapsed="false">
      <c r="A9" s="15" t="s">
        <v>160</v>
      </c>
    </row>
    <row r="10" customFormat="false" ht="15" hidden="false" customHeight="true" outlineLevel="0" collapsed="false">
      <c r="A10" s="16" t="s">
        <v>161</v>
      </c>
      <c r="B10" s="16" t="s">
        <v>162</v>
      </c>
      <c r="C10" s="16" t="s">
        <v>163</v>
      </c>
      <c r="D10" s="16" t="s">
        <v>164</v>
      </c>
      <c r="E10" s="16" t="s">
        <v>165</v>
      </c>
      <c r="F10" s="16" t="s">
        <v>166</v>
      </c>
    </row>
    <row r="11" customFormat="false" ht="15" hidden="false" customHeight="true" outlineLevel="0" collapsed="false">
      <c r="A11" s="18" t="s">
        <v>167</v>
      </c>
      <c r="B11" s="19"/>
      <c r="C11" s="19"/>
      <c r="D11" s="19"/>
      <c r="E11" s="19"/>
      <c r="F11" s="19"/>
    </row>
    <row r="12" customFormat="false" ht="15" hidden="false" customHeight="true" outlineLevel="0" collapsed="false">
      <c r="A12" s="18" t="s">
        <v>168</v>
      </c>
      <c r="B12" s="19"/>
      <c r="C12" s="19"/>
      <c r="D12" s="19"/>
      <c r="E12" s="19"/>
      <c r="F12" s="19"/>
    </row>
    <row r="13" customFormat="false" ht="15" hidden="false" customHeight="true" outlineLevel="0" collapsed="false">
      <c r="A13" s="18" t="s">
        <v>169</v>
      </c>
      <c r="B13" s="19"/>
      <c r="C13" s="19"/>
      <c r="D13" s="19"/>
      <c r="E13" s="19"/>
      <c r="F13" s="19"/>
    </row>
    <row r="14" customFormat="false" ht="15" hidden="false" customHeight="true" outlineLevel="0" collapsed="false">
      <c r="A14" s="18" t="s">
        <v>170</v>
      </c>
      <c r="B14" s="19"/>
      <c r="C14" s="19"/>
      <c r="D14" s="19"/>
      <c r="E14" s="19"/>
      <c r="F14" s="19"/>
    </row>
    <row r="15" customFormat="false" ht="15" hidden="false" customHeight="true" outlineLevel="0" collapsed="false">
      <c r="A15" s="18" t="s">
        <v>171</v>
      </c>
      <c r="B15" s="19"/>
      <c r="C15" s="19"/>
      <c r="D15" s="19"/>
      <c r="E15" s="19"/>
      <c r="F15" s="19"/>
    </row>
    <row r="16" customFormat="false" ht="15" hidden="false" customHeight="true" outlineLevel="0" collapsed="false">
      <c r="A16" s="18" t="s">
        <v>172</v>
      </c>
      <c r="B16" s="19"/>
      <c r="C16" s="19"/>
      <c r="D16" s="19"/>
      <c r="E16" s="19"/>
      <c r="F16" s="19"/>
    </row>
    <row r="17" customFormat="false" ht="15" hidden="false" customHeight="true" outlineLevel="0" collapsed="false">
      <c r="A17" s="18" t="s">
        <v>173</v>
      </c>
      <c r="B17" s="19"/>
      <c r="C17" s="19"/>
      <c r="D17" s="19"/>
      <c r="E17" s="19"/>
      <c r="F17" s="19"/>
    </row>
    <row r="19" customFormat="false" ht="15" hidden="false" customHeight="true" outlineLevel="0" collapsed="false">
      <c r="A19" s="15" t="s">
        <v>174</v>
      </c>
    </row>
    <row r="20" customFormat="false" ht="15" hidden="false" customHeight="true" outlineLevel="0" collapsed="false">
      <c r="A20" s="16" t="s">
        <v>175</v>
      </c>
      <c r="B20" s="16" t="s">
        <v>176</v>
      </c>
      <c r="C20" s="16"/>
      <c r="D20" s="16"/>
      <c r="E20" s="16"/>
      <c r="F20" s="16" t="s">
        <v>67</v>
      </c>
    </row>
    <row r="21" customFormat="false" ht="15" hidden="false" customHeight="true" outlineLevel="0" collapsed="false">
      <c r="A21" s="18" t="s">
        <v>177</v>
      </c>
      <c r="B21" s="19"/>
      <c r="C21" s="18"/>
      <c r="D21" s="18"/>
      <c r="E21" s="18"/>
      <c r="F21" s="22"/>
    </row>
    <row r="22" customFormat="false" ht="15" hidden="false" customHeight="true" outlineLevel="0" collapsed="false">
      <c r="A22" s="18" t="s">
        <v>178</v>
      </c>
      <c r="B22" s="19"/>
      <c r="C22" s="18"/>
      <c r="D22" s="18"/>
      <c r="E22" s="18"/>
      <c r="F22" s="22"/>
    </row>
    <row r="23" customFormat="false" ht="15" hidden="false" customHeight="true" outlineLevel="0" collapsed="false">
      <c r="A23" s="18" t="s">
        <v>179</v>
      </c>
      <c r="B23" s="19"/>
      <c r="C23" s="18"/>
      <c r="D23" s="18"/>
      <c r="E23" s="18"/>
      <c r="F23" s="22"/>
    </row>
    <row r="24" customFormat="false" ht="15" hidden="false" customHeight="true" outlineLevel="0" collapsed="false">
      <c r="A24" s="18" t="s">
        <v>180</v>
      </c>
      <c r="B24" s="19"/>
      <c r="C24" s="18"/>
      <c r="D24" s="18"/>
      <c r="E24" s="18"/>
      <c r="F24" s="22"/>
    </row>
    <row r="26" customFormat="false" ht="15" hidden="false" customHeight="true" outlineLevel="0" collapsed="false">
      <c r="A26" s="15" t="s">
        <v>103</v>
      </c>
    </row>
    <row r="27" customFormat="false" ht="39.75" hidden="false" customHeight="true" outlineLevel="0" collapsed="false">
      <c r="A27" s="23" t="s">
        <v>181</v>
      </c>
      <c r="B27" s="23"/>
      <c r="C27" s="23"/>
      <c r="D27" s="23"/>
      <c r="E27" s="23"/>
      <c r="F27" s="23"/>
    </row>
  </sheetData>
  <mergeCells count="6">
    <mergeCell ref="A1:F1"/>
    <mergeCell ref="A3:F3"/>
    <mergeCell ref="B5:C5"/>
    <mergeCell ref="E5:F5"/>
    <mergeCell ref="A7:F7"/>
    <mergeCell ref="A27:F27"/>
  </mergeCells>
  <dataValidations count="1">
    <dataValidation allowBlank="true" errorStyle="stop" operator="between" showDropDown="false" showErrorMessage="false" showInputMessage="false" sqref="C11:F17 B21:B2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34"/>
  </cols>
  <sheetData>
    <row r="1" customFormat="false" ht="25.5" hidden="false" customHeight="true" outlineLevel="0" collapsed="false">
      <c r="A1" s="2" t="s">
        <v>182</v>
      </c>
      <c r="B1" s="2"/>
      <c r="C1" s="2"/>
      <c r="D1" s="2"/>
      <c r="E1" s="2"/>
      <c r="F1" s="2"/>
    </row>
    <row r="2" customFormat="false" ht="14.25" hidden="false" customHeight="true" outlineLevel="0" collapsed="false">
      <c r="A2" s="25" t="s">
        <v>183</v>
      </c>
    </row>
    <row r="3" customFormat="false" ht="45" hidden="false" customHeight="true" outlineLevel="0" collapsed="false">
      <c r="A3" s="28" t="s">
        <v>184</v>
      </c>
      <c r="B3" s="28"/>
      <c r="C3" s="28"/>
      <c r="D3" s="28"/>
      <c r="E3" s="28"/>
      <c r="F3" s="28"/>
    </row>
    <row r="5" customFormat="false" ht="15" hidden="false" customHeight="true" outlineLevel="0" collapsed="false">
      <c r="A5" s="15" t="s">
        <v>185</v>
      </c>
    </row>
    <row r="6" customFormat="false" ht="23.25" hidden="false" customHeight="true" outlineLevel="0" collapsed="false">
      <c r="A6" s="16" t="s">
        <v>186</v>
      </c>
      <c r="B6" s="16" t="s">
        <v>187</v>
      </c>
      <c r="C6" s="16" t="s">
        <v>188</v>
      </c>
      <c r="D6" s="16" t="s">
        <v>189</v>
      </c>
      <c r="E6" s="16" t="s">
        <v>190</v>
      </c>
      <c r="F6" s="16" t="s">
        <v>67</v>
      </c>
    </row>
    <row r="7" customFormat="false" ht="15" hidden="false" customHeight="true" outlineLevel="0" collapsed="false">
      <c r="A7" s="18" t="s">
        <v>191</v>
      </c>
      <c r="B7" s="18" t="s">
        <v>192</v>
      </c>
      <c r="C7" s="19"/>
      <c r="D7" s="19"/>
      <c r="E7" s="19"/>
      <c r="F7" s="22"/>
    </row>
    <row r="8" customFormat="false" ht="15" hidden="false" customHeight="true" outlineLevel="0" collapsed="false">
      <c r="A8" s="18" t="s">
        <v>193</v>
      </c>
      <c r="B8" s="18" t="s">
        <v>194</v>
      </c>
      <c r="C8" s="19"/>
      <c r="D8" s="19"/>
      <c r="E8" s="19"/>
      <c r="F8" s="22"/>
    </row>
    <row r="10" customFormat="false" ht="15" hidden="false" customHeight="true" outlineLevel="0" collapsed="false">
      <c r="A10" s="15" t="s">
        <v>195</v>
      </c>
    </row>
    <row r="11" customFormat="false" ht="45" hidden="false" customHeight="true" outlineLevel="0" collapsed="false">
      <c r="A11" s="28" t="s">
        <v>196</v>
      </c>
      <c r="B11" s="28"/>
      <c r="C11" s="28"/>
      <c r="D11" s="28"/>
      <c r="E11" s="28"/>
      <c r="F11" s="28"/>
    </row>
    <row r="13" customFormat="false" ht="23.25" hidden="false" customHeight="true" outlineLevel="0" collapsed="false">
      <c r="A13" s="16" t="s">
        <v>175</v>
      </c>
      <c r="B13" s="16" t="s">
        <v>197</v>
      </c>
      <c r="C13" s="16" t="s">
        <v>198</v>
      </c>
      <c r="D13" s="16" t="s">
        <v>199</v>
      </c>
      <c r="E13" s="16"/>
      <c r="F13" s="16" t="s">
        <v>67</v>
      </c>
    </row>
    <row r="14" customFormat="false" ht="23.25" hidden="false" customHeight="true" outlineLevel="0" collapsed="false">
      <c r="A14" s="29" t="s">
        <v>200</v>
      </c>
      <c r="B14" s="19"/>
      <c r="C14" s="18" t="s">
        <v>201</v>
      </c>
      <c r="D14" s="19"/>
      <c r="E14" s="18"/>
      <c r="F14" s="22"/>
    </row>
    <row r="15" customFormat="false" ht="23.25" hidden="false" customHeight="true" outlineLevel="0" collapsed="false">
      <c r="A15" s="29" t="s">
        <v>202</v>
      </c>
      <c r="B15" s="19"/>
      <c r="C15" s="18" t="s">
        <v>201</v>
      </c>
      <c r="D15" s="19"/>
      <c r="E15" s="18"/>
      <c r="F15" s="22"/>
    </row>
    <row r="16" customFormat="false" ht="23.25" hidden="false" customHeight="true" outlineLevel="0" collapsed="false">
      <c r="A16" s="29" t="s">
        <v>203</v>
      </c>
      <c r="B16" s="19"/>
      <c r="C16" s="18" t="s">
        <v>201</v>
      </c>
      <c r="D16" s="19"/>
      <c r="E16" s="18"/>
      <c r="F16" s="22"/>
    </row>
    <row r="18" customFormat="false" ht="15" hidden="false" customHeight="true" outlineLevel="0" collapsed="false">
      <c r="A18" s="15" t="s">
        <v>103</v>
      </c>
    </row>
    <row r="19" customFormat="false" ht="39.75" hidden="false" customHeight="true" outlineLevel="0" collapsed="false">
      <c r="A19" s="23" t="s">
        <v>204</v>
      </c>
      <c r="B19" s="23"/>
      <c r="C19" s="23"/>
      <c r="D19" s="23"/>
      <c r="E19" s="23"/>
      <c r="F19" s="23"/>
    </row>
    <row r="21" customFormat="false" ht="15" hidden="false" customHeight="true" outlineLevel="0" collapsed="false">
      <c r="A21" s="4" t="s">
        <v>205</v>
      </c>
      <c r="B21" s="19"/>
      <c r="C21" s="19"/>
    </row>
  </sheetData>
  <mergeCells count="5">
    <mergeCell ref="A1:F1"/>
    <mergeCell ref="A3:F3"/>
    <mergeCell ref="A11:F11"/>
    <mergeCell ref="A19:F19"/>
    <mergeCell ref="B21:C21"/>
  </mergeCells>
  <dataValidations count="2">
    <dataValidation allowBlank="true" errorStyle="stop" operator="between" showDropDown="false" showErrorMessage="false" showInputMessage="false" sqref="D7:D8 D14:D16" type="list">
      <formula1>"Y,N"</formula1>
      <formula2>0</formula2>
    </dataValidation>
    <dataValidation allowBlank="true" errorStyle="stop" operator="between" showDropDown="false" showErrorMessage="false" showInputMessage="false" sqref="E7:E8" type="list">
      <formula1>"Clean,Mangled"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2026-08-02T04:42:33Z</dcterms:created>
  <dc:creator>openpyxl</dc:creator>
  <dc:description/>
  <dc:language>en-US</dc:language>
  <cp:lastModifiedBy>Liron Stroh</cp:lastModifiedBy>
  <dcterms:modified xsi:type="dcterms:W3CDTF">2026-10-06T22:06:15Z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