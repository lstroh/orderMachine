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af2e227e45ba049/Documents/stikerts/"/>
    </mc:Choice>
  </mc:AlternateContent>
  <xr:revisionPtr revIDLastSave="23" documentId="11_9A9F6AFFB1F4D40AB5AA634FA848C3F19135DDE4" xr6:coauthVersionLast="47" xr6:coauthVersionMax="47" xr10:uidLastSave="{83159E95-7E92-4265-BCF1-D447552E3946}"/>
  <bookViews>
    <workbookView xWindow="-108" yWindow="-108" windowWidth="23256" windowHeight="12456" tabRatio="500" activeTab="1" xr2:uid="{00000000-000D-0000-FFFF-FFFF00000000}"/>
  </bookViews>
  <sheets>
    <sheet name="Tier 1 Equipment Costs" sheetId="1" r:id="rId1"/>
    <sheet name="Bin Stickers 100x150 4pk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2" l="1"/>
  <c r="I24" i="2"/>
  <c r="B22" i="2"/>
  <c r="B23" i="2"/>
  <c r="L22" i="2"/>
  <c r="I22" i="2"/>
  <c r="B21" i="1"/>
  <c r="B13" i="1"/>
  <c r="B23" i="1" s="1"/>
  <c r="B54" i="2"/>
  <c r="B56" i="2" s="1"/>
  <c r="B48" i="2"/>
  <c r="B36" i="2"/>
  <c r="B28" i="2"/>
  <c r="B17" i="2"/>
  <c r="B15" i="2"/>
  <c r="B18" i="2" s="1"/>
  <c r="B30" i="2" l="1"/>
  <c r="B37" i="2" l="1"/>
  <c r="B31" i="2"/>
  <c r="B58" i="2"/>
  <c r="B59" i="2" s="1"/>
</calcChain>
</file>

<file path=xl/sharedStrings.xml><?xml version="1.0" encoding="utf-8"?>
<sst xmlns="http://schemas.openxmlformats.org/spreadsheetml/2006/main" count="140" uniqueCount="113">
  <si>
    <t>Bin Stickers — 100×140mm, 4-Pack (1 A4 sheet) — Cost Breakdown</t>
  </si>
  <si>
    <t>Blue = editable input. Black = calculated. Yellow highlight = key assumption to review. Prices checked July 2026 (GBP).</t>
  </si>
  <si>
    <t>PRODUCT SPEC</t>
  </si>
  <si>
    <t>Item</t>
  </si>
  <si>
    <t>Value</t>
  </si>
  <si>
    <t>Notes</t>
  </si>
  <si>
    <t>Sticker size (mm)</t>
  </si>
  <si>
    <t>100 x 140</t>
  </si>
  <si>
    <t>Reduced from 150mm to fit 4-up on a single A4 sheet with cutting margin (mathematical max for 2x2 grid is 105x148.5mm = A6; trimmed further to leave a clean guillotine-cut margin (cutting method updated July 2026 — see Business Plan Section 10; no longer uses Cricut Print Then Cut for this product)). Matches the reference listing's overall concept, just resized to fit one page.</t>
  </si>
  <si>
    <t>Stickers per pack</t>
  </si>
  <si>
    <t>Standard pack size in this category</t>
  </si>
  <si>
    <t>A4 pages needed per pack</t>
  </si>
  <si>
    <t>Updated: at 100x140mm, all 4 stickers fit on a single A4 sheet (2x2 grid, ~8-8.5mm margin around each). No longer needs 2 sheets — this halves the materials cost per pack vs the original 150mm-tall version.</t>
  </si>
  <si>
    <t>MATERIALS COST (per A4 page)</t>
  </si>
  <si>
    <t>Cost (£)</t>
  </si>
  <si>
    <t>Vinyl (printable, per A4 sheet)</t>
  </si>
  <si>
    <t>Carried over from Tier 1 vinyl pack assumption (~£10–15 / 30 sheets) | Bulk source option: Stickiply (UK) glossy vinyl A4 — ~£0.59/sheet (10-pack) down to ~£0.32/sheet (500-pack). See Equipment Guide.</t>
  </si>
  <si>
    <t>Laminate (cold, per A4 sheet)</t>
  </si>
  <si>
    <t>Carried over from Tier 1 self-adhesive laminate assumption | Bulk source option: Stickiply (UK) matte self-adhesive laminate A4 — ~£0.55/sheet (10-pack) down to ~£0.23/sheet (500-pack). See Equipment Guide.</t>
  </si>
  <si>
    <t>Ink (colour, per A4 page)</t>
  </si>
  <si>
    <t>Rough placeholder — EcoTank's own ISO-standard colour cost is under 1p/page at 5% ink coverage, but bold number/text designs use noticeably more ink than that test pattern. £0.03–0.10 is a reasonable range depending on design density; refine once you print real designs and can measure bottle depletion.</t>
  </si>
  <si>
    <t>Subtotal: cost per A4 page (vinyl + laminate + ink)</t>
  </si>
  <si>
    <t>Pages per pack (from Product Spec above)</t>
  </si>
  <si>
    <t>MATERIALS COST PER PACK (4 stickers)</t>
  </si>
  <si>
    <t>PACKAGING OPTIONS (from Test 6 — see Bin-Sticker-Material-Test-Plan.md)</t>
  </si>
  <si>
    <t>Option</t>
  </si>
  <si>
    <t>Cost/pack (£)</t>
  </si>
  <si>
    <t>Kraft envelope + tissue (flat wrap)</t>
  </si>
  <si>
    <t>Cheapest, lowest transit protection — sheet can flex/crease in a stuffed mailbag. Materials: C6 kraft envelope (~£6-7/50, Amazon UK) + tissue offcut. Packed thickness &lt;1mm — qualifies for Royal Mail Letter rate, not just Large Letter. Matches what most Etsy bin-sticker/decal sellers use as default (see Competitor Research).</t>
  </si>
  <si>
    <t>Kraft envelope + rigid backing card (no padding)</t>
  </si>
  <si>
    <t>Same envelope as above, tissue swapped for a rigid cardstock backing card (made in-house from offcuts, near-zero marginal cost per Business Plan Section 7). Resists bending/creasing without adding real thickness (~0.5mm) — the one candidate that might combine Letter-rate postage with better-than-plain-wrap protection. No cushioning against knocks/crushing, unlike a padded mailer or box.</t>
  </si>
  <si>
    <t>Padded mailer (Mail Lite A/000, 110×160mm)</t>
  </si>
  <si>
    <t>Cushions knocks in transit, stays flat and cheap to post. ~£11.66/100 (~5g each), confirmed by supplier as Royal Mail Large Letter sized. Packed thickness ~5-10mm — the padding itself rules out the Letter rate; no genuinely thin padded/bubble mailer exists that fits under 5mm.</t>
  </si>
  <si>
    <t>C6 box (163×112×20mm, rigid)</t>
  </si>
  <si>
    <t>Best transit protection and strongest 'unboxing' presentation — matches the gift-feel packaging described in Business Plan Section 7. £6.54-6.89/50 (Forms Plus). 20mm depth stays under the 25mm Royal Mail Large Letter thickness limit, but is well over the 5mm Letter limit.</t>
  </si>
  <si>
    <t>Selected packaging option (pending Test 6 results)</t>
  </si>
  <si>
    <t>Placeholder default = cheapest option. Update this cell once the post-to-self + drop/flex test (Test 6) results are in — swap in whichever text exactly matches one of the four option labels above (A22:A25).</t>
  </si>
  <si>
    <t>→ Packaging cost per pack (pulled from selection above)</t>
  </si>
  <si>
    <t>TOTAL COST PER PACK (materials + packaging, excl. shipping)</t>
  </si>
  <si>
    <t>Cost per individual sticker (excl. shipping)</t>
  </si>
  <si>
    <t>THANK-YOU CARD (per pack — 1 card included per order; see Business Plan Section 7 &amp; chat history for card design)</t>
  </si>
  <si>
    <t>Cardstock (per card — 1/4 of an A4 250gsm sheet, white or kraft)</t>
  </si>
  <si>
    <t>A4 250gsm cardstock ~£0.08/sheet ÷ 4 cards (A6 size, exactly 1/4 of A4, cut with the guillotine) = £0.02/card. Kraft cardstock runs higher (~£0.15-0.30/sheet ÷ 4 ≈ £0.04-0.08/card) — this figure uses the white/cream cardstock estimate; edit this cell if you settle on kraft instead.</t>
  </si>
  <si>
    <t>Ink (light coverage — flower motif + text, much lighter than a full sticker print)</t>
  </si>
  <si>
    <t>Printed via the same Epson EcoTank printer/ink used for stickers — light line-art + text coverage, well under the ~£0.05/page ink assumption used for the dense sticker designs above (row 14).</t>
  </si>
  <si>
    <t>Subtotal: thank-you card cost per pack</t>
  </si>
  <si>
    <t>SHIPPING — Royal Mail estimated prices (checked July 2026)</t>
  </si>
  <si>
    <t>Service</t>
  </si>
  <si>
    <t>Price (£)</t>
  </si>
  <si>
    <t>2nd Class Standard (untracked) — Letter, up to 100g</t>
  </si>
  <si>
    <t>Sources show ~85-91p for the current rate — confirm the exact figure in Click &amp; Drop at checkout; £0.88 used here as a midpoint placeholder. Only available if the packed item is under 240x165x5mm and 100g — realistically only the flat-wrap and backing-card packaging options qualify (see Packaging Options above).</t>
  </si>
  <si>
    <t>2nd Class Standard (untracked) — Large Letter, up to 100g</t>
  </si>
  <si>
    <t>Default/standard tier per Business Plan Section 8 — typically absorbed into item price, not charged separately at checkout. The only option available for the padded mailer and box candidates, since their thickness rules out the Letter rate.</t>
  </si>
  <si>
    <t>2nd Class (untracked) — Large Letter, up to 250g</t>
  </si>
  <si>
    <t>Applies if the packed 4-pack + packaging crosses the 100g threshold — confirm on a kitchen scale.</t>
  </si>
  <si>
    <t>Tracked 48 — Large Letter</t>
  </si>
  <si>
    <t>Optional paid upgrade (+£1.50-2.00 over standard per Business Plan Section 8).</t>
  </si>
  <si>
    <t>Tracked 24 — Large Letter</t>
  </si>
  <si>
    <t>Optional paid upgrade (+£3.00). 'Aims for' next working day — not a guarantee.</t>
  </si>
  <si>
    <t>Special Delivery Guaranteed by 1pm</t>
  </si>
  <si>
    <t>For bundled/high-value orders (£20+) only, per Business Plan Section 8 — not the standard single-pack tier.</t>
  </si>
  <si>
    <t>Selected shipping tier (for landed cost below)</t>
  </si>
  <si>
    <t>Must exactly match one of the six service labels above (A35:A40). Switch to the Letter-rate row once Test 6 confirms your chosen packaging measures under 5mm/100g.</t>
  </si>
  <si>
    <t>→ Shipping cost per pack (pulled from selection above)</t>
  </si>
  <si>
    <t>SHIPPING LABEL — address sticker (Click &amp; Drop)</t>
  </si>
  <si>
    <t>A4 sticker label sheet pack — price (£)</t>
  </si>
  <si>
    <t>Avery J8160 QuickDRY, 63.5x38.1mm, 21 labels/sheet, 25-sheet pack — avery.co.uk, checked July 2026. Cheaper own-brand packs (~£7-10/25 sheets) exist too; swap this in if you go that route.</t>
  </si>
  <si>
    <t>Sheets per pack</t>
  </si>
  <si>
    <t>→ Price per A4 sheet</t>
  </si>
  <si>
    <t>Labels printed per sheet (batch assumption)</t>
  </si>
  <si>
    <t>Assumes you batch 3 shipments' worth of labels onto one sheet before cutting (Click &amp; Drop '3+ per A4' style batching), rather than 1 label per sheet. Sheet has 21 slots total - this treats the other 18 as unused/wasted per batch, which is the conservative per-shipment cost. Increase this number if you routinely batch more orders together. Cheaper default at low volume: plain A4 paper + tape/glue stick (~1-2p/shipment), officially supported by Royal Mail.</t>
  </si>
  <si>
    <t>→ Cost per address label (sheet price ÷ labels used)</t>
  </si>
  <si>
    <t>TOTAL LANDED COST PER PACK (materials + packaging + shipping + label + thank-you card)</t>
  </si>
  <si>
    <t>Cost per individual sticker (all-in incl. shipping + label)</t>
  </si>
  <si>
    <t>Shipping (postage) is typically absorbed into the item's list price rather than charged separately at checkout (standard/free-shipping is the competitor norm - see Business Plan Section 8), so the TOTAL LANDED COST row above represents your true all-in cost basis for pricing decisions, not necessarily a line the customer sees itemised. Change 'Selected packaging option' (B27) or 'Selected shipping tier' (B47) to re-model - e.g. once Test 6 confirms the backing-card option stays under 5mm/100g, switch B47 to the Letter-rate row for the biggest cost saving. The thank-you card subtotal (B36) is a fixed per-pack cost regardless of packaging/shipping choice.</t>
  </si>
  <si>
    <t>Tier 1 Equipment Costs — Sticker Side Hustle</t>
  </si>
  <si>
    <t>Prices checked July 2026 (GBP). Blue = editable input. Black = calculated.</t>
  </si>
  <si>
    <t>Low (£)</t>
  </si>
  <si>
    <t>Category</t>
  </si>
  <si>
    <t>Cricut Explore 5 (cutting machine, current gen)</t>
  </si>
  <si>
    <t>Core</t>
  </si>
  <si>
    <t>Print-Then-Cut vinyl cutter</t>
  </si>
  <si>
    <t>Epson EcoTank ET-3950 (pigment-ink printer, current gen)</t>
  </si>
  <si>
    <t>Pigment black ink for waterproof prints</t>
  </si>
  <si>
    <t>Printable vinyl sticker paper (starter pack)</t>
  </si>
  <si>
    <t>A4 waterproof printable vinyl</t>
  </si>
  <si>
    <t>Self-adhesive laminate sheets + squeegee</t>
  </si>
  <si>
    <t>Cold lamination sheets, feeds through laminator</t>
  </si>
  <si>
    <t>Manual cold roll laminator (VEVOR, A4 width min.)</t>
  </si>
  <si>
    <t>Promoted from optional — removes bubble/wrinkle risk vs hand-applying</t>
  </si>
  <si>
    <t>Backup Epson 101/102 ink bottles</t>
  </si>
  <si>
    <t>UK naming (not '502' — that's US)</t>
  </si>
  <si>
    <t>A4 guillotine/paper trimmer (metal-base)</t>
  </si>
  <si>
    <t>Straight-cuts the A4 sheet into 4 bin stickers (and thank-you cards to A6) — replaces Cricut Print Then Cut for this product, see Equipment Guide</t>
  </si>
  <si>
    <t>Corner rounder punch (3-in-1)</t>
  </si>
  <si>
    <t>Rounds bin sticker corners — test on laminated vinyl before bulk buying, see Material Test Plan addendum</t>
  </si>
  <si>
    <t>Slice 00200/00100 safety cutter</t>
  </si>
  <si>
    <t>Manual peel-start nick through vinyl + laminate without cutting the backing</t>
  </si>
  <si>
    <t>CORE SUBTOTAL (required to start)</t>
  </si>
  <si>
    <t>Optional Equipment (not required to launch)</t>
  </si>
  <si>
    <t>Cricut Access Standard subscription (annual)</t>
  </si>
  <si>
    <t>Optional</t>
  </si>
  <si>
    <t>~$9.99/mo; not needed for custom text/number designs — free tier covers your use case</t>
  </si>
  <si>
    <t>Cricut Explore 5 Essential Bundle (alternative to buying machine + materials separately)</t>
  </si>
  <si>
    <t>Optional (alt. path)</t>
  </si>
  <si>
    <t>Machine + Smart Vinyl/Iron-On/Cardstock/Printable Vinyl bundled — compare to buying items individually before choosing</t>
  </si>
  <si>
    <t>Cricut Printable Waterproof Sticker Set – A4, 6ct (alternative vinyl+laminate source)</t>
  </si>
  <si>
    <t>Matched vinyl+laminate pair per set, waterproof/UV-resistant 2yrs — alternative to sourcing vinyl and laminate separately above</t>
  </si>
  <si>
    <t>OPTIONAL SUBTOTAL (Access subscription only — bundle/Cricut-set are alt. paths, not additive)</t>
  </si>
  <si>
    <t>TOTAL — Core + Cricut Access (recommended launch budget)</t>
  </si>
  <si>
    <t>Note: the Essential Bundle and the Cricut Printable Waterproof Sticker Set are alternative purchase</t>
  </si>
  <si>
    <t>paths — don't add them on top of the Core items above, they replace several of them.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</si>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</sst>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£#,##0.00"/>
  </numFmts>
  <fonts count="18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9"/>
      <color rgb="FF666666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  <font>
      <sz val="11"/>
      <color rgb="FF0000FF"/>
      <name val="Arial"/>
      <charset val="1"/>
    </font>
    <font>
      <b/>
      <sz val="11"/>
      <color rgb="FF000000"/>
      <name val="Arial"/>
      <charset val="1"/>
    </font>
    <font>
      <b/>
      <sz val="11"/>
      <color rgb="FF1F3864"/>
      <name val="Arial"/>
      <charset val="1"/>
    </font>
    <font>
      <b/>
      <sz val="12"/>
      <color rgb="FFFFFFFF"/>
      <name val="Arial"/>
      <charset val="1"/>
    </font>
    <font>
      <b/>
      <sz val="13"/>
      <color rgb="FF1F3864"/>
      <name val="Calibri"/>
      <charset val="1"/>
    </font>
    <font>
      <sz val="11"/>
      <color rgb="FF666666"/>
      <name val="Calibri"/>
      <charset val="1"/>
    </font>
    <font>
      <b/>
      <sz val="11"/>
      <color rgb="FF1F3864"/>
      <name val="Calibri"/>
      <charset val="1"/>
    </font>
    <font>
      <b/>
      <sz val="11"/>
      <color rgb="FFFFFFFF"/>
      <name val="Calibri"/>
      <charset val="1"/>
    </font>
    <font>
      <sz val="11"/>
      <color rgb="FF0000FF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  <font>
      <sz val="11"/>
      <name val="Calibri"/>
      <charset val="1"/>
    </font>
    <font>
      <b/>
      <sz val="11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CC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0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5" fillId="0" borderId="1" xfId="0" applyNumberFormat="1" applyFont="1" applyBorder="1"/>
    <xf numFmtId="0" fontId="2" fillId="0" borderId="1" xfId="0" applyFont="1" applyBorder="1"/>
    <xf numFmtId="0" fontId="6" fillId="3" borderId="1" xfId="0" applyFont="1" applyFill="1" applyBorder="1"/>
    <xf numFmtId="164" fontId="6" fillId="3" borderId="1" xfId="0" applyNumberFormat="1" applyFont="1" applyFill="1" applyBorder="1"/>
    <xf numFmtId="0" fontId="0" fillId="3" borderId="1" xfId="0" applyFill="1" applyBorder="1"/>
    <xf numFmtId="0" fontId="7" fillId="0" borderId="0" xfId="0" applyFont="1"/>
    <xf numFmtId="0" fontId="8" fillId="2" borderId="1" xfId="0" applyFont="1" applyFill="1" applyBorder="1"/>
    <xf numFmtId="164" fontId="8" fillId="2" borderId="1" xfId="0" applyNumberFormat="1" applyFont="1" applyFill="1" applyBorder="1"/>
    <xf numFmtId="0" fontId="0" fillId="2" borderId="1" xfId="0" applyFill="1" applyBorder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2" borderId="0" xfId="0" applyFont="1" applyFill="1"/>
    <xf numFmtId="0" fontId="13" fillId="4" borderId="0" xfId="0" applyFont="1" applyFill="1"/>
    <xf numFmtId="164" fontId="13" fillId="4" borderId="0" xfId="0" applyNumberFormat="1" applyFont="1" applyFill="1"/>
    <xf numFmtId="164" fontId="14" fillId="3" borderId="0" xfId="0" applyNumberFormat="1" applyFont="1" applyFill="1"/>
    <xf numFmtId="1" fontId="15" fillId="0" borderId="0" xfId="0" applyNumberFormat="1" applyFont="1"/>
    <xf numFmtId="0" fontId="16" fillId="0" borderId="0" xfId="0" applyFont="1"/>
    <xf numFmtId="164" fontId="12" fillId="2" borderId="0" xfId="0" applyNumberFormat="1" applyFont="1" applyFill="1"/>
    <xf numFmtId="0" fontId="17" fillId="0" borderId="0" xfId="0" applyFont="1"/>
    <xf numFmtId="164" fontId="17" fillId="3" borderId="0" xfId="0" applyNumberFormat="1" applyFont="1" applyFill="1"/>
    <xf numFmtId="164" fontId="16" fillId="0" borderId="0" xfId="0" applyNumberFormat="1" applyFont="1"/>
    <xf numFmtId="164" fontId="16" fillId="3" borderId="0" xfId="0" applyNumberFormat="1" applyFont="1" applyFill="1"/>
    <xf numFmtId="0" fontId="17" fillId="0" borderId="0" xfId="0" applyFont="1"/>
    <xf numFmtId="164" fontId="17" fillId="3" borderId="0" xfId="0" applyNumberFormat="1" applyFont="1" applyFill="1"/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zoomScaleNormal="100" workbookViewId="0">
      <pane ySplit="4" topLeftCell="A5" activePane="bottomLeft" state="frozen"/>
      <selection pane="bottomLeft" activeCell="A12" sqref="A12"/>
    </sheetView>
  </sheetViews>
  <sheetFormatPr defaultColWidth="8.6640625" defaultRowHeight="14.4" x14ac:dyDescent="0.3"/>
  <cols>
    <col min="1" max="1" width="42" customWidth="1"/>
    <col min="2" max="3" width="14" customWidth="1"/>
    <col min="4" max="4" width="46" customWidth="1"/>
  </cols>
  <sheetData>
    <row r="1" spans="1:4" ht="17.25" customHeight="1" x14ac:dyDescent="0.3">
      <c r="A1" s="2" t="s">
        <v>75</v>
      </c>
    </row>
    <row r="2" spans="1:4" ht="15" customHeight="1" x14ac:dyDescent="0.3">
      <c r="A2" s="3" t="s">
        <v>76</v>
      </c>
    </row>
    <row r="4" spans="1:4" ht="15" customHeight="1" x14ac:dyDescent="0.3">
      <c r="A4" s="4" t="s">
        <v>3</v>
      </c>
      <c r="B4" s="4" t="s">
        <v>77</v>
      </c>
      <c r="C4" s="4" t="s">
        <v>78</v>
      </c>
      <c r="D4" s="4" t="s">
        <v>5</v>
      </c>
    </row>
    <row r="5" spans="1:4" ht="15" customHeight="1" x14ac:dyDescent="0.3">
      <c r="A5" s="5" t="s">
        <v>82</v>
      </c>
      <c r="B5" s="6">
        <v>370</v>
      </c>
      <c r="C5" s="5" t="s">
        <v>80</v>
      </c>
      <c r="D5" s="7" t="s">
        <v>83</v>
      </c>
    </row>
    <row r="6" spans="1:4" ht="15" customHeight="1" x14ac:dyDescent="0.3">
      <c r="A6" s="5" t="s">
        <v>84</v>
      </c>
      <c r="B6" s="6">
        <v>10</v>
      </c>
      <c r="C6" s="5" t="s">
        <v>80</v>
      </c>
      <c r="D6" s="7" t="s">
        <v>85</v>
      </c>
    </row>
    <row r="7" spans="1:4" ht="15" customHeight="1" x14ac:dyDescent="0.3">
      <c r="A7" s="5" t="s">
        <v>86</v>
      </c>
      <c r="B7" s="6">
        <v>15</v>
      </c>
      <c r="C7" s="5" t="s">
        <v>80</v>
      </c>
      <c r="D7" s="7" t="s">
        <v>87</v>
      </c>
    </row>
    <row r="8" spans="1:4" ht="15" customHeight="1" x14ac:dyDescent="0.3">
      <c r="A8" s="5" t="s">
        <v>88</v>
      </c>
      <c r="B8" s="6">
        <v>120</v>
      </c>
      <c r="C8" s="5" t="s">
        <v>80</v>
      </c>
      <c r="D8" s="7" t="s">
        <v>89</v>
      </c>
    </row>
    <row r="9" spans="1:4" ht="15" customHeight="1" x14ac:dyDescent="0.3">
      <c r="A9" s="5" t="s">
        <v>90</v>
      </c>
      <c r="B9" s="6">
        <v>10</v>
      </c>
      <c r="C9" s="5" t="s">
        <v>80</v>
      </c>
      <c r="D9" s="7" t="s">
        <v>91</v>
      </c>
    </row>
    <row r="10" spans="1:4" ht="15" customHeight="1" x14ac:dyDescent="0.3">
      <c r="A10" t="s">
        <v>92</v>
      </c>
      <c r="B10">
        <v>10</v>
      </c>
      <c r="C10" t="s">
        <v>80</v>
      </c>
      <c r="D10" t="s">
        <v>93</v>
      </c>
    </row>
    <row r="11" spans="1:4" x14ac:dyDescent="0.3">
      <c r="A11" t="s">
        <v>94</v>
      </c>
      <c r="B11">
        <v>4.49</v>
      </c>
      <c r="C11" t="s">
        <v>80</v>
      </c>
      <c r="D11" t="s">
        <v>95</v>
      </c>
    </row>
    <row r="12" spans="1:4" ht="15" customHeight="1" x14ac:dyDescent="0.3">
      <c r="A12" t="s">
        <v>96</v>
      </c>
      <c r="B12">
        <v>8.0399999999999991</v>
      </c>
      <c r="C12" t="s">
        <v>80</v>
      </c>
      <c r="D12" t="s">
        <v>97</v>
      </c>
    </row>
    <row r="13" spans="1:4" ht="15" customHeight="1" x14ac:dyDescent="0.3">
      <c r="A13" s="8" t="s">
        <v>98</v>
      </c>
      <c r="B13" s="9">
        <f>SUM(B5:B12)</f>
        <v>547.53</v>
      </c>
      <c r="C13" s="10"/>
      <c r="D13" s="10"/>
    </row>
    <row r="14" spans="1:4" ht="15" customHeight="1" x14ac:dyDescent="0.3"/>
    <row r="15" spans="1:4" ht="15" customHeight="1" x14ac:dyDescent="0.3">
      <c r="A15" s="11" t="s">
        <v>99</v>
      </c>
    </row>
    <row r="16" spans="1:4" ht="15" customHeight="1" x14ac:dyDescent="0.3">
      <c r="A16" s="4" t="s">
        <v>3</v>
      </c>
      <c r="B16" s="4" t="s">
        <v>77</v>
      </c>
      <c r="C16" s="4" t="s">
        <v>78</v>
      </c>
      <c r="D16" s="4" t="s">
        <v>5</v>
      </c>
    </row>
    <row r="17" spans="1:4" ht="15" customHeight="1" x14ac:dyDescent="0.3">
      <c r="A17" s="5" t="s">
        <v>100</v>
      </c>
      <c r="B17" s="6">
        <v>96</v>
      </c>
      <c r="C17" s="5" t="s">
        <v>101</v>
      </c>
      <c r="D17" s="7" t="s">
        <v>102</v>
      </c>
    </row>
    <row r="18" spans="1:4" x14ac:dyDescent="0.3">
      <c r="A18" s="5" t="s">
        <v>103</v>
      </c>
      <c r="B18" s="6">
        <v>249.99</v>
      </c>
      <c r="C18" s="5" t="s">
        <v>104</v>
      </c>
      <c r="D18" s="7" t="s">
        <v>105</v>
      </c>
    </row>
    <row r="19" spans="1:4" ht="15" customHeight="1" x14ac:dyDescent="0.3">
      <c r="A19" s="5" t="s">
        <v>106</v>
      </c>
      <c r="B19" s="6">
        <v>11.19</v>
      </c>
      <c r="C19" s="5" t="s">
        <v>104</v>
      </c>
      <c r="D19" s="7" t="s">
        <v>107</v>
      </c>
    </row>
    <row r="20" spans="1:4" ht="15" customHeight="1" x14ac:dyDescent="0.3">
      <c r="A20" s="5" t="s">
        <v>79</v>
      </c>
      <c r="B20" s="6">
        <v>250</v>
      </c>
      <c r="C20" s="5" t="s">
        <v>80</v>
      </c>
      <c r="D20" s="7" t="s">
        <v>81</v>
      </c>
    </row>
    <row r="21" spans="1:4" x14ac:dyDescent="0.3">
      <c r="A21" s="8" t="s">
        <v>108</v>
      </c>
      <c r="B21" s="9">
        <f>SUM(B17:B20)</f>
        <v>607.18000000000006</v>
      </c>
      <c r="C21" s="10"/>
      <c r="D21" s="10"/>
    </row>
    <row r="22" spans="1:4" ht="15" customHeight="1" x14ac:dyDescent="0.3"/>
    <row r="23" spans="1:4" ht="15" customHeight="1" x14ac:dyDescent="0.3">
      <c r="A23" s="12" t="s">
        <v>109</v>
      </c>
      <c r="B23" s="13">
        <f>B13+B17</f>
        <v>643.53</v>
      </c>
      <c r="C23" s="14"/>
      <c r="D23" s="14"/>
    </row>
    <row r="25" spans="1:4" x14ac:dyDescent="0.3">
      <c r="A25" s="3" t="s">
        <v>110</v>
      </c>
    </row>
    <row r="26" spans="1:4" x14ac:dyDescent="0.3">
      <c r="A26" s="3" t="s">
        <v>111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1"/>
  <sheetViews>
    <sheetView tabSelected="1" topLeftCell="A7" zoomScaleNormal="100" workbookViewId="0">
      <selection activeCell="A24" sqref="A24"/>
    </sheetView>
  </sheetViews>
  <sheetFormatPr defaultColWidth="8.6640625" defaultRowHeight="14.4" x14ac:dyDescent="0.3"/>
  <cols>
    <col min="1" max="1" width="46" customWidth="1"/>
    <col min="2" max="2" width="16" customWidth="1"/>
    <col min="3" max="3" width="55" customWidth="1"/>
  </cols>
  <sheetData>
    <row r="1" spans="1:3" ht="17.25" customHeight="1" x14ac:dyDescent="0.35">
      <c r="A1" s="15" t="s">
        <v>0</v>
      </c>
    </row>
    <row r="2" spans="1:3" ht="14.25" customHeight="1" x14ac:dyDescent="0.3">
      <c r="A2" s="16" t="s">
        <v>1</v>
      </c>
    </row>
    <row r="4" spans="1:3" ht="14.25" customHeight="1" x14ac:dyDescent="0.3">
      <c r="A4" s="17" t="s">
        <v>2</v>
      </c>
    </row>
    <row r="5" spans="1:3" ht="14.25" customHeight="1" x14ac:dyDescent="0.3">
      <c r="A5" s="18" t="s">
        <v>3</v>
      </c>
      <c r="B5" s="18" t="s">
        <v>4</v>
      </c>
      <c r="C5" s="18" t="s">
        <v>5</v>
      </c>
    </row>
    <row r="6" spans="1:3" ht="14.25" customHeight="1" x14ac:dyDescent="0.3">
      <c r="A6" t="s">
        <v>6</v>
      </c>
      <c r="B6" s="19" t="s">
        <v>7</v>
      </c>
      <c r="C6" s="16" t="s">
        <v>8</v>
      </c>
    </row>
    <row r="7" spans="1:3" ht="14.25" customHeight="1" x14ac:dyDescent="0.3">
      <c r="A7" t="s">
        <v>9</v>
      </c>
      <c r="B7" s="19">
        <v>4</v>
      </c>
      <c r="C7" s="16" t="s">
        <v>10</v>
      </c>
    </row>
    <row r="8" spans="1:3" ht="14.25" customHeight="1" x14ac:dyDescent="0.3">
      <c r="A8" t="s">
        <v>11</v>
      </c>
      <c r="B8" s="19">
        <v>1</v>
      </c>
      <c r="C8" s="16" t="s">
        <v>12</v>
      </c>
    </row>
    <row r="10" spans="1:3" ht="14.25" customHeight="1" x14ac:dyDescent="0.3">
      <c r="A10" s="17" t="s">
        <v>13</v>
      </c>
    </row>
    <row r="11" spans="1:3" ht="14.25" customHeight="1" x14ac:dyDescent="0.3">
      <c r="A11" s="18" t="s">
        <v>3</v>
      </c>
      <c r="B11" s="18" t="s">
        <v>14</v>
      </c>
      <c r="C11" s="18" t="s">
        <v>5</v>
      </c>
    </row>
    <row r="12" spans="1:3" ht="14.25" customHeight="1" x14ac:dyDescent="0.3">
      <c r="A12" t="s">
        <v>15</v>
      </c>
      <c r="B12" s="20">
        <v>0.4</v>
      </c>
      <c r="C12" s="16" t="s">
        <v>16</v>
      </c>
    </row>
    <row r="13" spans="1:3" ht="14.25" customHeight="1" x14ac:dyDescent="0.3">
      <c r="A13" t="s">
        <v>17</v>
      </c>
      <c r="B13" s="20">
        <v>0.2</v>
      </c>
      <c r="C13" s="16" t="s">
        <v>18</v>
      </c>
    </row>
    <row r="14" spans="1:3" ht="14.25" customHeight="1" x14ac:dyDescent="0.3">
      <c r="A14" t="s">
        <v>19</v>
      </c>
      <c r="B14" s="20">
        <v>0.05</v>
      </c>
      <c r="C14" s="16" t="s">
        <v>20</v>
      </c>
    </row>
    <row r="15" spans="1:3" ht="14.25" customHeight="1" x14ac:dyDescent="0.3">
      <c r="A15" t="s">
        <v>21</v>
      </c>
      <c r="B15" s="21">
        <f>SUM(B12:B14)</f>
        <v>0.65000000000000013</v>
      </c>
    </row>
    <row r="17" spans="1:12" ht="14.25" customHeight="1" x14ac:dyDescent="0.3">
      <c r="A17" t="s">
        <v>22</v>
      </c>
      <c r="B17" s="22">
        <f>B8</f>
        <v>1</v>
      </c>
    </row>
    <row r="18" spans="1:12" ht="14.25" customHeight="1" x14ac:dyDescent="0.3">
      <c r="A18" t="s">
        <v>23</v>
      </c>
      <c r="B18" s="21">
        <f>B15*B17</f>
        <v>0.65000000000000013</v>
      </c>
    </row>
    <row r="20" spans="1:12" ht="14.25" customHeight="1" x14ac:dyDescent="0.3">
      <c r="A20" s="17" t="s">
        <v>24</v>
      </c>
      <c r="B20" s="23"/>
      <c r="C20" s="23"/>
    </row>
    <row r="21" spans="1:12" ht="14.25" customHeight="1" x14ac:dyDescent="0.3">
      <c r="A21" s="18" t="s">
        <v>25</v>
      </c>
      <c r="B21" s="24" t="s">
        <v>26</v>
      </c>
      <c r="C21" s="18" t="s">
        <v>5</v>
      </c>
    </row>
    <row r="22" spans="1:12" ht="54.75" customHeight="1" x14ac:dyDescent="0.3">
      <c r="A22" s="23" t="s">
        <v>27</v>
      </c>
      <c r="B22" s="20">
        <f>I22+L22</f>
        <v>0.14846999999999999</v>
      </c>
      <c r="C22" s="1" t="s">
        <v>28</v>
      </c>
      <c r="G22">
        <v>7.35</v>
      </c>
      <c r="H22">
        <v>50</v>
      </c>
      <c r="I22">
        <f>G22/H22</f>
        <v>0.14699999999999999</v>
      </c>
      <c r="J22">
        <v>8</v>
      </c>
      <c r="K22">
        <v>100</v>
      </c>
      <c r="L22">
        <f>I22/K22</f>
        <v>1.47E-3</v>
      </c>
    </row>
    <row r="23" spans="1:12" ht="41.25" customHeight="1" x14ac:dyDescent="0.3">
      <c r="A23" s="23" t="s">
        <v>29</v>
      </c>
      <c r="B23" s="20">
        <f>I22</f>
        <v>0.14699999999999999</v>
      </c>
      <c r="C23" s="1" t="s">
        <v>30</v>
      </c>
      <c r="G23">
        <v>6</v>
      </c>
      <c r="H23">
        <v>10</v>
      </c>
      <c r="I23">
        <f>G23/H23</f>
        <v>0.6</v>
      </c>
    </row>
    <row r="24" spans="1:12" ht="54.75" customHeight="1" x14ac:dyDescent="0.3">
      <c r="A24" s="23" t="s">
        <v>31</v>
      </c>
      <c r="B24" s="20">
        <v>0.12</v>
      </c>
      <c r="C24" s="1" t="s">
        <v>32</v>
      </c>
      <c r="G24">
        <v>10</v>
      </c>
      <c r="H24">
        <v>50</v>
      </c>
      <c r="I24">
        <f>G24/H24</f>
        <v>0.2</v>
      </c>
    </row>
    <row r="25" spans="1:12" ht="14.25" customHeight="1" x14ac:dyDescent="0.3">
      <c r="A25" s="23" t="s">
        <v>33</v>
      </c>
      <c r="B25" s="20">
        <v>0.2</v>
      </c>
      <c r="C25" s="1" t="s">
        <v>34</v>
      </c>
    </row>
    <row r="26" spans="1:12" ht="54.75" customHeight="1" x14ac:dyDescent="0.3">
      <c r="A26" s="23"/>
      <c r="B26" s="23"/>
      <c r="C26" s="23"/>
    </row>
    <row r="27" spans="1:12" ht="14.25" customHeight="1" x14ac:dyDescent="0.3">
      <c r="A27" s="23" t="s">
        <v>35</v>
      </c>
      <c r="B27" s="20" t="s">
        <v>27</v>
      </c>
      <c r="C27" s="1" t="s">
        <v>36</v>
      </c>
    </row>
    <row r="28" spans="1:12" x14ac:dyDescent="0.3">
      <c r="A28" s="25" t="s">
        <v>37</v>
      </c>
      <c r="B28" s="26">
        <f>INDEX(B22:B25,MATCH(B27,A22:A25,0))</f>
        <v>0.14846999999999999</v>
      </c>
      <c r="C28" s="23"/>
    </row>
    <row r="29" spans="1:12" ht="14.25" customHeight="1" x14ac:dyDescent="0.3">
      <c r="A29" s="23"/>
      <c r="B29" s="27"/>
      <c r="C29" s="23"/>
    </row>
    <row r="30" spans="1:12" ht="14.25" customHeight="1" x14ac:dyDescent="0.3">
      <c r="A30" s="25" t="s">
        <v>38</v>
      </c>
      <c r="B30" s="26">
        <f>B18+B28</f>
        <v>0.79847000000000012</v>
      </c>
      <c r="C30" s="23"/>
    </row>
    <row r="31" spans="1:12" x14ac:dyDescent="0.3">
      <c r="A31" s="23" t="s">
        <v>39</v>
      </c>
      <c r="B31" s="28">
        <f>B30/B7</f>
        <v>0.19961750000000003</v>
      </c>
      <c r="C31" s="23"/>
    </row>
    <row r="32" spans="1:12" ht="14.25" customHeight="1" x14ac:dyDescent="0.3">
      <c r="A32" t="s">
        <v>40</v>
      </c>
    </row>
    <row r="33" spans="1:3" ht="14.25" customHeight="1" x14ac:dyDescent="0.3">
      <c r="A33" t="s">
        <v>3</v>
      </c>
      <c r="B33" t="s">
        <v>14</v>
      </c>
      <c r="C33" t="s">
        <v>5</v>
      </c>
    </row>
    <row r="34" spans="1:3" ht="54.75" customHeight="1" x14ac:dyDescent="0.3">
      <c r="A34" t="s">
        <v>41</v>
      </c>
      <c r="B34">
        <v>0.02</v>
      </c>
      <c r="C34" t="s">
        <v>42</v>
      </c>
    </row>
    <row r="35" spans="1:3" ht="27.75" customHeight="1" x14ac:dyDescent="0.3">
      <c r="A35" t="s">
        <v>43</v>
      </c>
      <c r="B35">
        <v>0.01</v>
      </c>
      <c r="C35" t="s">
        <v>44</v>
      </c>
    </row>
    <row r="36" spans="1:3" ht="27.75" customHeight="1" x14ac:dyDescent="0.3">
      <c r="A36" t="s">
        <v>45</v>
      </c>
      <c r="B36">
        <f>SUM(B34:B35)</f>
        <v>0.03</v>
      </c>
    </row>
    <row r="37" spans="1:3" ht="27.75" customHeight="1" x14ac:dyDescent="0.3">
      <c r="A37" s="25" t="s">
        <v>112</v>
      </c>
      <c r="B37" s="26">
        <f>B36+B30</f>
        <v>0.82847000000000015</v>
      </c>
      <c r="C37" s="23"/>
    </row>
    <row r="38" spans="1:3" ht="28.8" customHeight="1" x14ac:dyDescent="0.3">
      <c r="A38" s="17" t="s">
        <v>46</v>
      </c>
      <c r="B38" s="23"/>
      <c r="C38" s="23"/>
    </row>
    <row r="39" spans="1:3" ht="27.75" customHeight="1" x14ac:dyDescent="0.3">
      <c r="A39" s="18" t="s">
        <v>47</v>
      </c>
      <c r="B39" s="24" t="s">
        <v>48</v>
      </c>
      <c r="C39" s="18" t="s">
        <v>5</v>
      </c>
    </row>
    <row r="40" spans="1:3" ht="14.25" customHeight="1" x14ac:dyDescent="0.3">
      <c r="A40" s="23" t="s">
        <v>49</v>
      </c>
      <c r="B40" s="20">
        <v>0.88</v>
      </c>
      <c r="C40" s="1" t="s">
        <v>50</v>
      </c>
    </row>
    <row r="41" spans="1:3" ht="14.25" customHeight="1" x14ac:dyDescent="0.3">
      <c r="A41" s="23" t="s">
        <v>51</v>
      </c>
      <c r="B41" s="20">
        <v>1.55</v>
      </c>
      <c r="C41" s="1" t="s">
        <v>52</v>
      </c>
    </row>
    <row r="42" spans="1:3" ht="14.25" customHeight="1" x14ac:dyDescent="0.3">
      <c r="A42" s="23" t="s">
        <v>53</v>
      </c>
      <c r="B42" s="20">
        <v>1.9</v>
      </c>
      <c r="C42" s="1" t="s">
        <v>54</v>
      </c>
    </row>
    <row r="43" spans="1:3" ht="14.25" customHeight="1" x14ac:dyDescent="0.3">
      <c r="A43" s="23" t="s">
        <v>55</v>
      </c>
      <c r="B43" s="20">
        <v>2.75</v>
      </c>
      <c r="C43" s="1" t="s">
        <v>56</v>
      </c>
    </row>
    <row r="44" spans="1:3" ht="54.75" customHeight="1" x14ac:dyDescent="0.3">
      <c r="A44" s="23" t="s">
        <v>57</v>
      </c>
      <c r="B44" s="20">
        <v>3.65</v>
      </c>
      <c r="C44" s="1" t="s">
        <v>58</v>
      </c>
    </row>
    <row r="45" spans="1:3" ht="45" customHeight="1" x14ac:dyDescent="0.3">
      <c r="A45" s="23" t="s">
        <v>59</v>
      </c>
      <c r="B45" s="20">
        <v>8.75</v>
      </c>
      <c r="C45" s="1" t="s">
        <v>60</v>
      </c>
    </row>
    <row r="46" spans="1:3" ht="14.25" customHeight="1" x14ac:dyDescent="0.3">
      <c r="A46" s="23"/>
      <c r="B46" s="23"/>
      <c r="C46" s="23"/>
    </row>
    <row r="47" spans="1:3" ht="81.75" customHeight="1" x14ac:dyDescent="0.3">
      <c r="A47" s="23" t="s">
        <v>61</v>
      </c>
      <c r="B47" s="20" t="s">
        <v>51</v>
      </c>
      <c r="C47" s="1" t="s">
        <v>62</v>
      </c>
    </row>
    <row r="48" spans="1:3" ht="14.25" customHeight="1" x14ac:dyDescent="0.3">
      <c r="A48" s="25" t="s">
        <v>63</v>
      </c>
      <c r="B48" s="26">
        <f>INDEX(B40:B45,MATCH(B47,A40:A45,0))</f>
        <v>1.55</v>
      </c>
      <c r="C48" s="23"/>
    </row>
    <row r="49" spans="1:3" x14ac:dyDescent="0.3">
      <c r="A49" s="23"/>
      <c r="B49" s="27"/>
      <c r="C49" s="23"/>
    </row>
    <row r="50" spans="1:3" ht="14.25" customHeight="1" x14ac:dyDescent="0.3">
      <c r="A50" s="17" t="s">
        <v>64</v>
      </c>
      <c r="B50" s="23"/>
      <c r="C50" s="23"/>
    </row>
    <row r="51" spans="1:3" ht="14.25" customHeight="1" x14ac:dyDescent="0.3">
      <c r="A51" s="18" t="s">
        <v>3</v>
      </c>
      <c r="B51" s="24" t="s">
        <v>4</v>
      </c>
      <c r="C51" s="18" t="s">
        <v>5</v>
      </c>
    </row>
    <row r="52" spans="1:3" ht="57.6" x14ac:dyDescent="0.3">
      <c r="A52" s="23" t="s">
        <v>65</v>
      </c>
      <c r="B52" s="20">
        <v>15.89</v>
      </c>
      <c r="C52" s="1" t="s">
        <v>66</v>
      </c>
    </row>
    <row r="53" spans="1:3" ht="54.75" customHeight="1" x14ac:dyDescent="0.3">
      <c r="A53" s="23" t="s">
        <v>67</v>
      </c>
      <c r="B53" s="20">
        <v>25</v>
      </c>
      <c r="C53" s="23"/>
    </row>
    <row r="54" spans="1:3" x14ac:dyDescent="0.3">
      <c r="A54" s="25" t="s">
        <v>68</v>
      </c>
      <c r="B54" s="26">
        <f>B52/B53</f>
        <v>0.63560000000000005</v>
      </c>
      <c r="C54" s="23"/>
    </row>
    <row r="55" spans="1:3" ht="115.2" x14ac:dyDescent="0.3">
      <c r="A55" s="23" t="s">
        <v>69</v>
      </c>
      <c r="B55" s="20">
        <v>3</v>
      </c>
      <c r="C55" s="1" t="s">
        <v>70</v>
      </c>
    </row>
    <row r="56" spans="1:3" ht="60" customHeight="1" x14ac:dyDescent="0.3">
      <c r="A56" s="29" t="s">
        <v>71</v>
      </c>
      <c r="B56" s="30">
        <f>B54/B55</f>
        <v>0.21186666666666668</v>
      </c>
      <c r="C56" s="31"/>
    </row>
    <row r="57" spans="1:3" x14ac:dyDescent="0.3">
      <c r="A57" s="23"/>
      <c r="B57" s="23"/>
      <c r="C57" s="23"/>
    </row>
    <row r="58" spans="1:3" x14ac:dyDescent="0.3">
      <c r="A58" s="25" t="s">
        <v>72</v>
      </c>
      <c r="B58" s="26">
        <f>B30+B48+B56+B36</f>
        <v>2.590336666666667</v>
      </c>
      <c r="C58" s="23"/>
    </row>
    <row r="59" spans="1:3" x14ac:dyDescent="0.3">
      <c r="A59" s="23" t="s">
        <v>73</v>
      </c>
      <c r="B59" s="28">
        <f>B58/B7</f>
        <v>0.64758416666666674</v>
      </c>
      <c r="C59" s="23"/>
    </row>
    <row r="60" spans="1:3" x14ac:dyDescent="0.3">
      <c r="A60" s="23"/>
      <c r="B60" s="23"/>
      <c r="C60" s="23"/>
    </row>
    <row r="61" spans="1:3" ht="187.2" x14ac:dyDescent="0.3">
      <c r="A61" s="1" t="s">
        <v>74</v>
      </c>
    </row>
  </sheetData>
  <mergeCells count="1">
    <mergeCell ref="A56:C5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Tier 1 Equipment Costs</vt:lpstr>
      <vt:lpstr>Bin Stickers 100x150 4pk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Liron Stroh</cp:lastModifiedBy>
  <cp:revision>0</cp:revision>
  <dcterms:created xsi:type="dcterms:W3CDTF">2026-07-22T19:17:07Z</dcterms:created>
  <dcterms:modified xsi:type="dcterms:W3CDTF">2026-07-27T14:58:56Z</dcterms:modified>
  <dc:language>en-US</dc:language>
</cp:coreProperties>
</file>