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iron\Local Sites\ordermachine\app\public\wp-content\plugins\orderMachine\stikerts\"/>
    </mc:Choice>
  </mc:AlternateContent>
  <xr:revisionPtr revIDLastSave="0" documentId="13_ncr:1_{FD330459-99FD-4F8C-892E-18FE9514D80C}" xr6:coauthVersionLast="47" xr6:coauthVersionMax="47" xr10:uidLastSave="{00000000-0000-0000-0000-000000000000}"/>
  <bookViews>
    <workbookView xWindow="-108" yWindow="-108" windowWidth="23256" windowHeight="12456" tabRatio="500" activeTab="2" xr2:uid="{00000000-000D-0000-FFFF-FFFF00000000}"/>
  </bookViews>
  <sheets>
    <sheet name="Tier 1 Equipment Costs" sheetId="1" r:id="rId1"/>
    <sheet name="Bin Stickers 100x150 4pk" sheetId="2" r:id="rId2"/>
    <sheet name="Recurring Overhead"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1" i="3" l="1"/>
  <c r="F42" i="1"/>
  <c r="F41" i="1"/>
  <c r="B43" i="1"/>
  <c r="F32" i="1"/>
  <c r="F33" i="1"/>
  <c r="F34" i="1"/>
  <c r="F35" i="1"/>
  <c r="F36" i="1"/>
  <c r="F37" i="1"/>
  <c r="F38" i="1"/>
  <c r="F39" i="1"/>
  <c r="F40" i="1"/>
  <c r="F31" i="1"/>
  <c r="B14" i="1"/>
  <c r="B31" i="3"/>
  <c r="B18" i="3"/>
  <c r="B10" i="3"/>
  <c r="B22" i="1"/>
  <c r="B54" i="2"/>
  <c r="B48" i="2"/>
  <c r="B36" i="2"/>
  <c r="B28" i="2"/>
  <c r="B17" i="2"/>
  <c r="B15" i="2"/>
  <c r="B18" i="2" s="1"/>
  <c r="B30" i="2" s="1"/>
  <c r="B32" i="3" l="1"/>
  <c r="B65" i="2" s="1"/>
  <c r="B66" i="2" s="1"/>
  <c r="B27" i="3"/>
  <c r="B26" i="3"/>
  <c r="B25" i="3"/>
  <c r="B45" i="1"/>
  <c r="B55" i="1" s="1"/>
  <c r="B24" i="1"/>
  <c r="B31" i="2"/>
  <c r="B58" i="2"/>
  <c r="B37" i="2"/>
  <c r="B59" i="2" l="1"/>
  <c r="B68" i="2"/>
  <c r="B69" i="2" l="1"/>
  <c r="B52" i="1"/>
  <c r="B53" i="1" s="1"/>
  <c r="B56" i="1" s="1"/>
  <c r="B57" i="1" s="1"/>
</calcChain>
</file>

<file path=xl/sharedStrings.xml><?xml version="1.0" encoding="utf-8"?>
<sst xmlns="http://schemas.openxmlformats.org/spreadsheetml/2006/main" count="255" uniqueCount="199">
  <si>
    <t>Tier 1 Equipment Costs — Sticker Side Hustle</t>
  </si>
  <si>
    <t>Prices checked July 2026 (GBP). Blue = editable input. Black = calculated.</t>
  </si>
  <si>
    <t>Item</t>
  </si>
  <si>
    <t>Low (£)</t>
  </si>
  <si>
    <t>Category</t>
  </si>
  <si>
    <t>Notes</t>
  </si>
  <si>
    <t>Epson EcoTank ET-3950 (pigment-ink printer, current gen)</t>
  </si>
  <si>
    <t>Core</t>
  </si>
  <si>
    <t>Pigment black ink for waterproof prints</t>
  </si>
  <si>
    <t>Printable vinyl sticker paper (starter pack)</t>
  </si>
  <si>
    <t>A4 waterproof printable vinyl</t>
  </si>
  <si>
    <t>Self-adhesive laminate sheets + squeegee</t>
  </si>
  <si>
    <t>Cold lamination sheets, feeds through laminator</t>
  </si>
  <si>
    <t>Manual cold roll laminator (VEVOR, A4 width min.)</t>
  </si>
  <si>
    <t>Promoted from optional — removes bubble/wrinkle risk vs hand-applying</t>
  </si>
  <si>
    <t>Backup Epson 101/102 ink bottles</t>
  </si>
  <si>
    <t>UK naming (not '502' — that's US)</t>
  </si>
  <si>
    <t>A4 guillotine/paper trimmer (metal-base)</t>
  </si>
  <si>
    <t>Straight-cuts the A4 sheet into 4 bin stickers (and thank-you cards to A6) — replaces Cricut Print Then Cut for this product, see Equipment Guide</t>
  </si>
  <si>
    <t>Corner rounder punch (3-in-1)</t>
  </si>
  <si>
    <t>Rounds bin sticker corners — test on laminated vinyl before bulk buying, see Material Test Plan addendum</t>
  </si>
  <si>
    <t>Slice 00200/00100 safety cutter</t>
  </si>
  <si>
    <t>Manual peel-start nick through vinyl + laminate without cutting the backing</t>
  </si>
  <si>
    <t>CORE SUBTOTAL (required to start)</t>
  </si>
  <si>
    <t>Optional Equipment (not required to launch)</t>
  </si>
  <si>
    <t>Cricut Access Standard subscription (annual)</t>
  </si>
  <si>
    <t>Optional</t>
  </si>
  <si>
    <t>~$9.99/mo; not needed for custom text/number designs — free tier covers your use case</t>
  </si>
  <si>
    <t>Cricut Explore 5 Essential Bundle (alternative to buying machine + materials separately)</t>
  </si>
  <si>
    <t>Optional (alt. path)</t>
  </si>
  <si>
    <t>Machine + Smart Vinyl/Iron-On/Cardstock/Printable Vinyl bundled — compare to buying items individually before choosing</t>
  </si>
  <si>
    <t>Cricut Printable Waterproof Sticker Set – A4, 6ct (alternative vinyl+laminate source)</t>
  </si>
  <si>
    <t>Matched vinyl+laminate pair per set, waterproof/UV-resistant 2yrs — alternative to sourcing vinyl and laminate separately above</t>
  </si>
  <si>
    <t>Cricut Explore 5 (cutting machine, current gen)</t>
  </si>
  <si>
    <t>Print-Then-Cut vinyl cutter</t>
  </si>
  <si>
    <t>OPTIONAL SUBTOTAL (Access subscription only — bundle/Cricut-set are alt. paths, not additive)</t>
  </si>
  <si>
    <t>TOTAL — Core + Cricut Access (recommended launch budget)</t>
  </si>
  <si>
    <t>Note: the Essential Bundle and the Cricut Printable Waterproof Sticker Set are alternative purchase</t>
  </si>
  <si>
    <t>paths — don't add them on top of the Core items above, they replace several of them.</t>
  </si>
  <si>
    <t>R&amp;D / Testing Materials (one-off, sunk cost — see Bin-Sticker-Material-Test-Plan.md)</t>
  </si>
  <si>
    <t>R&amp;D</t>
  </si>
  <si>
    <t>One-off purchase of all 4 packaging candidates for side-by-side comparison. See Bin-Sticker-Shipping-Plan.md 'Testing shopping list' (~£33–35 total as pinned there — update once actually spent).</t>
  </si>
  <si>
    <t>2nd Class postage for the 4 test parcels in Test 6. See Bin-Sticker-Shipping-Plan.md.</t>
  </si>
  <si>
    <t>R&amp;D SUBTOTAL</t>
  </si>
  <si>
    <t>TOTAL SUNK STARTUP COST (Core Equipment + R&amp;D Materials)</t>
  </si>
  <si>
    <t>Excludes Optional items (Cricut Access/Explore bundle/alt. vinyl set) — those are alternative purchase paths, not required to launch, consistent with the OPTIONAL SUBTOTAL note above. Feeds the Break-Even Calculator below.</t>
  </si>
  <si>
    <t>BREAK-EVEN CALCULATOR</t>
  </si>
  <si>
    <t>Live model — change the sale price or pull in updated figures from the other sheets and this recalculates automatically.</t>
  </si>
  <si>
    <t>Sale price per pack (4 stickers) (£)</t>
  </si>
  <si>
    <t>Matches Business Plan Section 6 default single-item eBay/site sale price (£6.00/pack). Edit if your real price differs.</t>
  </si>
  <si>
    <t>Total landed cost per pack, incl. overhead (£)</t>
  </si>
  <si>
    <t>Pulled from the Bin Stickers sheet — materials + packaging + shipping + label + thank-you card + recurring overhead per pack.</t>
  </si>
  <si>
    <t>→ Profit per pack (£)</t>
  </si>
  <si>
    <t>Total sunk startup cost (from above)</t>
  </si>
  <si>
    <t>→ Packs needed to break even</t>
  </si>
  <si>
    <t>→ Individual stickers needed to break even</t>
  </si>
  <si>
    <t>If Profit per pack is zero or negative, both break-even figures show N/A — the sale price does not cover the fully-loaded cost, so this is a signal to revisit pricing before the volume figures mean anything.</t>
  </si>
  <si>
    <t>Bin Stickers — 100×140mm, 4-Pack (1 A4 sheet) — Cost Breakdown</t>
  </si>
  <si>
    <t>Blue = editable input. Black = calculated. Yellow highlight = key assumption to review. Prices checked July 2026 (GBP).</t>
  </si>
  <si>
    <t>PRODUCT SPEC</t>
  </si>
  <si>
    <t>Value</t>
  </si>
  <si>
    <t>Sticker size (mm)</t>
  </si>
  <si>
    <t>100 x 140</t>
  </si>
  <si>
    <t>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t>
  </si>
  <si>
    <t>Stickers per pack</t>
  </si>
  <si>
    <t>Standard pack size in this category</t>
  </si>
  <si>
    <t>A4 pages needed per pack</t>
  </si>
  <si>
    <t>Updated: at 100x140mm, all 4 stickers fit on a single A4 sheet (2x2 grid, ~8-8.5mm margin around each). No longer needs 2 sheets — this halves the materials cost per pack vs the original 150mm-tall version.</t>
  </si>
  <si>
    <t>MATERIALS COST (per A4 page)</t>
  </si>
  <si>
    <t>Cost (£)</t>
  </si>
  <si>
    <t>Vinyl (printable, per A4 sheet)</t>
  </si>
  <si>
    <t>Carried over from Tier 1 vinyl pack assumption (~£10–15 / 30 sheets) | Bulk source option: Stickiply (UK) glossy vinyl A4 — ~£0.59/sheet (10-pack) down to ~£0.32/sheet (500-pack). See Equipment Guide.</t>
  </si>
  <si>
    <t>Laminate (cold, per A4 sheet)</t>
  </si>
  <si>
    <t>Carried over from Tier 1 self-adhesive laminate assumption | Bulk source option: Stickiply (UK) matte self-adhesive laminate A4 — ~£0.55/sheet (10-pack) down to ~£0.23/sheet (500-pack). See Equipment Guide.</t>
  </si>
  <si>
    <t>Ink (colour, per A4 page)</t>
  </si>
  <si>
    <t>Rough placeholder — EcoTank's own ISO-standard colour cost is under 1p/page at 5% ink coverage, but bold number/text designs use noticeably more ink than that test pattern. £0.03–0.10 is a reasonable range depending on design density; refine once you print real designs and can measure bottle depletion.</t>
  </si>
  <si>
    <t>Subtotal: cost per A4 page (vinyl + laminate + ink)</t>
  </si>
  <si>
    <t>Pages per pack (from Product Spec above)</t>
  </si>
  <si>
    <t>MATERIALS COST PER PACK (4 stickers)</t>
  </si>
  <si>
    <t>PACKAGING OPTIONS (from Test 6 — see Bin-Sticker-Material-Test-Plan.md)</t>
  </si>
  <si>
    <t>Option</t>
  </si>
  <si>
    <t>Cost/pack (£)</t>
  </si>
  <si>
    <t>Kraft envelope + tissue (flat wrap)</t>
  </si>
  <si>
    <t>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</si>
  <si>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Kraft envelope + rigid backing card (no padding)</t>
  </si>
  <si>
    <t>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</si>
  <si>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Padded mailer (Mail Lite A/000, 110×160mm)</t>
  </si>
  <si>
    <t>Cushions knocks in transit, stays flat and cheap to post. ~£11.66/100 (~5g each), confirmed by supplier as Royal Mail Large Letter sized. Packed thickness ~5-10mm — the padding itself rules out the Letter rate; no genuinely thin padded/bubble mailer exists that fits under 5mm.</t>
  </si>
  <si>
    <t>C6 box (163×112×20mm, rigid)</t>
  </si>
  <si>
    <t>Best transit protection and strongest 'unboxing' presentation — matches the gift-feel packaging described in Business Plan Section 7. £6.54-6.89/50 (Forms Plus). 20mm depth stays under the 25mm Royal Mail Large Letter thickness limit, but is well over the 5mm Letter limit.</t>
  </si>
  <si>
    <t>Selected packaging option (pending Test 6 results)</t>
  </si>
  <si>
    <t>Placeholder default = cheapest option. Update this cell once the post-to-self + drop/flex test (Test 6) results are in — swap in whichever text exactly matches one of the four option labels above (A22:A25).</t>
  </si>
  <si>
    <t>→ Packaging cost per pack (pulled from selection above)</t>
  </si>
  <si>
    <t>TOTAL COST PER PACK (materials + packaging, excl. shipping)</t>
  </si>
  <si>
    <t>Cost per individual sticker (excl. shipping)</t>
  </si>
  <si>
    <t>THANK-YOU CARD (per pack — 1 card included per order; see Business Plan Section 7 &amp; chat history for card design)</t>
  </si>
  <si>
    <t>Cardstock (per card — 1/4 of an A4 250gsm sheet, white or kraft)</t>
  </si>
  <si>
    <t>A4 250gsm cardstock ~£0.08/sheet ÷ 4 cards (A6 size, exactly 1/4 of A4, cut with the guillotine) = £0.02/card. Kraft cardstock runs higher (~£0.15-0.30/sheet ÷ 4 ≈ £0.04-0.08/card) — this figure uses the white/cream cardstock estimate; edit this cell if you settle on kraft instead.</t>
  </si>
  <si>
    <t>Ink (light coverage — flower motif + text, much lighter than a full sticker print)</t>
  </si>
  <si>
    <t>Printed via the same Epson EcoTank printer/ink used for stickers — light line-art + text coverage, well under the ~£0.05/page ink assumption used for the dense sticker designs above (row 14).</t>
  </si>
  <si>
    <t>Subtotal: thank-you card cost per pack</t>
  </si>
  <si>
    <t>Total</t>
  </si>
  <si>
    <t>SHIPPING — Royal Mail estimated prices (checked July 2026)</t>
  </si>
  <si>
    <t>Service</t>
  </si>
  <si>
    <t>Price (£)</t>
  </si>
  <si>
    <t>2nd Class Standard (untracked) — Letter, up to 100g</t>
  </si>
  <si>
    <t>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</si>
  <si>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2nd Class Standard (untracked) — Large Letter, up to 100g</t>
  </si>
  <si>
    <t>Default/standard tier per Business Plan Section 8 — typically absorbed into item price, not charged separately at checkout. The only option available for the padded mailer and box candidates, since their thickness rules out the Letter rate.</t>
  </si>
  <si>
    <t>2nd Class (untracked) — Large Letter, up to 250g</t>
  </si>
  <si>
    <t>Applies if the packed 4-pack + packaging crosses the 100g threshold — confirm on a kitchen scale.</t>
  </si>
  <si>
    <t>Tracked 48 — Large Letter</t>
  </si>
  <si>
    <t>Optional paid upgrade (+£1.50-2.00 over standard per Business Plan Section 8).</t>
  </si>
  <si>
    <t>Tracked 24 — Large Letter</t>
  </si>
  <si>
    <t>Optional paid upgrade (+£3.00). 'Aims for' next working day — not a guarantee.</t>
  </si>
  <si>
    <t>Special Delivery Guaranteed by 1pm</t>
  </si>
  <si>
    <t>For bundled/high-value orders (£20+) only, per Business Plan Section 8 — not the standard single-pack tier.</t>
  </si>
  <si>
    <t>Selected shipping tier (for landed cost below)</t>
  </si>
  <si>
    <t>Must exactly match one of the six service labels above (A35:A40). Switch to the Letter-rate row once Test 6 confirms your chosen packaging measures under 5mm/100g.</t>
  </si>
  <si>
    <t>→ Shipping cost per pack (pulled from selection above)</t>
  </si>
  <si>
    <t>SHIPPING LABEL — address sticker (Click &amp; Drop)</t>
  </si>
  <si>
    <t>A4 sticker label sheet pack — price (£)</t>
  </si>
  <si>
    <t>Avery J8160 QuickDRY, 63.5x38.1mm, 21 labels/sheet, 25-sheet pack — avery.co.uk, checked July 2026. Cheaper own-brand packs (~£7-10/25 sheets) exist too; swap this in if you go that route.</t>
  </si>
  <si>
    <t>Sheets per pack</t>
  </si>
  <si>
    <t>→ Price per A4 sheet</t>
  </si>
  <si>
    <t>Labels printed per sheet (batch assumption)</t>
  </si>
  <si>
    <t>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</si>
  <si>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Cost per address label (sheet price ÷ labels used)</t>
  </si>
  <si>
    <t>TOTAL LANDED COST PER PACK (materials + packaging + shipping + label + thank-you card)</t>
  </si>
  <si>
    <t>Cost per individual sticker (all-in incl. shipping + label)</t>
  </si>
  <si>
    <t>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(B47) to re-model - e.g. once Test 6 confirms the backing-card option stays under 5mm/100g, switch B47 to the Letter-rate row for the biggest cost saving. The thank-you card subtotal (B36) is a fixed per-pack cost regardless of packaging/shipping choice.</t>
  </si>
  <si>
    <t>RECURRING OVERHEAD PER UNIT (from 'Recurring Overhead' sheet)</t>
  </si>
  <si>
    <t>Overhead cost per sticker (£)</t>
  </si>
  <si>
    <t>Live link to the Recurring Overhead sheet's ACTIVE SCENARIO figure (subscriptions ÷ chosen scenario's monthly volume). Defaults to the Conservative scenario — change the dropdown on that sheet to switch which scenario feeds this and the Break-Even Calculator.</t>
  </si>
  <si>
    <t>Overhead cost per pack (4 stickers) (£)</t>
  </si>
  <si>
    <t>TOTAL LANDED COST PER PACK, INCL. OVERHEAD (£)</t>
  </si>
  <si>
    <t>Cost per individual sticker, incl. overhead (£)</t>
  </si>
  <si>
    <t>This is now the true floor price to plan pricing around — B58/B59 above (unchanged, still used elsewhere) exclude recurring overhead entirely. The Break-Even Calculator on the Tier 1 Equipment Costs sheet pulls from B68 on this row, not from B58.</t>
  </si>
  <si>
    <t>Recurring Overhead — Subscriptions &amp; Monthly Costs</t>
  </si>
  <si>
    <t>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</si>
  <si>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MONTHLY SUBSCRIPTIONS</t>
  </si>
  <si>
    <t>Cost (£/month)</t>
  </si>
  <si>
    <t>Design</t>
  </si>
  <si>
    <t>Placeholder — not yet chosen (per chat, July 2026). Separate from Midjourney, already costed per-design-set in the Business Plan; add it here too if it becomes an ongoing monthly subscription.</t>
  </si>
  <si>
    <t>Placeholder — for any paid/commercial-use fonts beyond free/open-license options.</t>
  </si>
  <si>
    <t>Bookkeeping / accounting software</t>
  </si>
  <si>
    <t>Admin</t>
  </si>
  <si>
    <t>Placeholder — decided to use paid software (per chat), specific tool not yet chosen.</t>
  </si>
  <si>
    <t>Other subscription (e.g. seller tools, cloud storage)</t>
  </si>
  <si>
    <t>Add any other recurring monthly tool here — extend this list with more rows as needed, keep them inside the SUM range below.</t>
  </si>
  <si>
    <t>MONTHLY OVERHEAD SUBTOTAL</t>
  </si>
  <si>
    <t>MONTHLY VOLUME SCENARIOS (pre-launch — no sales history yet)</t>
  </si>
  <si>
    <t>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</si>
  <si>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Scenario</t>
  </si>
  <si>
    <t>Monthly Volume (stickers)</t>
  </si>
  <si>
    <t>Basis</t>
  </si>
  <si>
    <t>Notes / Source</t>
  </si>
  <si>
    <t>Conservative</t>
  </si>
  <si>
    <t>New-shop comparable benchmark</t>
  </si>
  <si>
    <t>Seller community reports commonly cite roughly 3–10 sales in a new shop's first month; a study of 797 Etsy shops found ~16 sales/month typical for a 'middling' shop after a full year. 10/month is a placeholder mid-point — edit if you have a firmer view.</t>
  </si>
  <si>
    <t>Base / Target</t>
  </si>
  <si>
    <t>Anchored to your own break-even goal</t>
  </si>
  <si>
    <t>Business Plan Section 9 break-even range is 145–360 total sales (bundled vs single-item); Section 12 Phase 1 targets hitting that within 3–6 months — implies roughly 24–60 sales/month. 40/month is the placeholder mid-point; edit to your actual target. Deliberately a manual figure, not pulled live from the Break-Even Calculator, to avoid a circular reference (that calculator itself depends on the overhead figure this scenario feeds).</t>
  </si>
  <si>
    <t>Optimistic / Capacity ceiling</t>
  </si>
  <si>
    <t>Production capacity, not demand</t>
  </si>
  <si>
    <t>What you COULD produce, not necessarily what you will sell — see the capacity calculation just below. Treat as an upper bound, not a forecast.</t>
  </si>
  <si>
    <t>Hours/week available for production (your input)</t>
  </si>
  <si>
    <t>Not yet known — set this to see your realistic capacity ceiling. Left at 0 as a placeholder.</t>
  </si>
  <si>
    <t>→ Capacity-based monthly volume (stickers)</t>
  </si>
  <si>
    <t>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</si>
  <si>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OVERHEAD COST PER STICKER BY SCENARIO</t>
  </si>
  <si>
    <t>Overhead Cost / Sticker (£)</t>
  </si>
  <si>
    <t>ACTIVE SCENARIO (used in Bin Stickers sheet &amp; Break-Even Calculator)</t>
  </si>
  <si>
    <t>Active scenario</t>
  </si>
  <si>
    <t>Dropdown — pick Conservative, Base / Target, or Optimistic / Capacity ceiling. Defaults to Conservative: pricing against the low estimate means you stay covered even if early volume is slow; switch it once you have a few months of real data.</t>
  </si>
  <si>
    <t>→ Active monthly volume (stickers)</t>
  </si>
  <si>
    <t>→ Active overhead cost per sticker (£)</t>
  </si>
  <si>
    <t>moved to r&amp;d</t>
  </si>
  <si>
    <r>
      <t>Stickiply</t>
    </r>
    <r>
      <rPr>
        <b/>
        <sz val="13.5"/>
        <color rgb="FF5F6368"/>
        <rFont val="Arial"/>
        <family val="2"/>
      </rPr>
      <t> </t>
    </r>
  </si>
  <si>
    <t>Self-Healing Cutting Mat (A4)</t>
  </si>
  <si>
    <t>count</t>
  </si>
  <si>
    <t>Matte Self-Adhesive Laminate | Pro UV × 1</t>
  </si>
  <si>
    <t>Printable Vinyl Sticker Paper | Clear (A4) × 1</t>
  </si>
  <si>
    <t>Printable Vinyl Sticker Paper | Glossy (A4) × 1</t>
  </si>
  <si>
    <t>Brown Kraft Card, A4 Card 250GSM Thick Kraft Card Stock for Cards Making, Scrapbook, Office Printing and Arts or Crafts DIY (25 Sheets)</t>
  </si>
  <si>
    <t>Double Dragon 50-Pack A6 C6 Manilla Hard Board Backed Envelopes | 162mm x 114mm | 'Please Do Not Bend' Printed | Padded &amp; Tamper-Proof | Self-Seal Closure</t>
  </si>
  <si>
    <t>White Card, A4 Card 250GSM Thick Card Stock for Cards Making, Scrapbook, Office Printing and Arts or Crafts DIY (25 Sheets)</t>
  </si>
  <si>
    <t>SmithPackaging A4 Self Adhesive Address Labels, 1 Label Per Sheet, 100 Sheets, 199.6 x 289.1mm, 100 Labels</t>
  </si>
  <si>
    <t>40 Sheets of Acid Free Tissue Paper Cool White MG 17gsm Clothing Storage Gift Wrapping Decorative Sketch and Cutting Large Tissue Paper for Art Craft and Packing - 500mm x 750mm</t>
  </si>
  <si>
    <t>Triplast White Bubble Padded Envelopes - Pick Qty &amp; Size: 10 x 1/A (100x165mm) A6 Envelopes - Large Letter Postal Bags with Bubble Wrap Lining and Peel &amp; Seal Strip for Royal Mail Shipping &amp; Postage</t>
  </si>
  <si>
    <t>AKAR White A6/C6 Large Letter Postal Box - 112x163x20 mm - Letterbox Pip Royal Mail Small Boxes for Posting [Pack of 50]</t>
  </si>
  <si>
    <t>amazon</t>
  </si>
  <si>
    <t xml:space="preserve">Stickiply </t>
  </si>
  <si>
    <t>Printable Waterproof Sticker Set – A4 (20 ct), White</t>
  </si>
  <si>
    <t>Printable Waterproof Sticker Set – A4 (20 ct), Transparent</t>
  </si>
  <si>
    <t>Shipping</t>
  </si>
  <si>
    <t>cricut</t>
  </si>
  <si>
    <t>Midjourney </t>
  </si>
  <si>
    <t>lovart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</si>
</sst>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29" x14ac:knownFonts="1">
    <font>
      <sz val="11"/>
      <color theme="1"/>
      <name val="Calibri"/>
      <family val="2"/>
      <charset val="1"/>
    </font>
    <font>
      <b/>
      <sz val="14"/>
      <color rgb="FF1F3864"/>
      <name val="Arial"/>
      <charset val="1"/>
    </font>
    <font>
      <i/>
      <sz val="9"/>
      <color rgb="FF666666"/>
      <name val="Arial"/>
      <charset val="1"/>
    </font>
    <font>
      <b/>
      <sz val="11"/>
      <color rgb="FFFFFFFF"/>
      <name val="Arial"/>
      <charset val="1"/>
    </font>
    <font>
      <sz val="11"/>
      <color rgb="FF000000"/>
      <name val="Arial"/>
      <charset val="1"/>
    </font>
    <font>
      <sz val="11"/>
      <color rgb="FF0000FF"/>
      <name val="Arial"/>
      <charset val="1"/>
    </font>
    <font>
      <b/>
      <sz val="11"/>
      <color rgb="FF000000"/>
      <name val="Arial"/>
      <charset val="1"/>
    </font>
    <font>
      <b/>
      <sz val="11"/>
      <color rgb="FF1F3864"/>
      <name val="Arial"/>
      <charset val="1"/>
    </font>
    <font>
      <b/>
      <sz val="12"/>
      <color rgb="FFFFFFFF"/>
      <name val="Arial"/>
      <charset val="1"/>
    </font>
    <font>
      <b/>
      <sz val="12"/>
      <color rgb="FF1F3864"/>
      <name val="Arial"/>
      <charset val="1"/>
    </font>
    <font>
      <sz val="11"/>
      <color rgb="FF008000"/>
      <name val="Arial"/>
      <charset val="1"/>
    </font>
    <font>
      <b/>
      <sz val="13"/>
      <color rgb="FF1F3864"/>
      <name val="Calibri"/>
      <charset val="1"/>
    </font>
    <font>
      <sz val="11"/>
      <color rgb="FF666666"/>
      <name val="Calibri"/>
      <charset val="1"/>
    </font>
    <font>
      <b/>
      <sz val="11"/>
      <color rgb="FF1F3864"/>
      <name val="Calibri"/>
      <charset val="1"/>
    </font>
    <font>
      <b/>
      <sz val="11"/>
      <color rgb="FFFFFFFF"/>
      <name val="Calibri"/>
      <charset val="1"/>
    </font>
    <font>
      <sz val="11"/>
      <color rgb="FF0000FF"/>
      <name val="Calibri"/>
      <charset val="1"/>
    </font>
    <font>
      <b/>
      <sz val="11"/>
      <color rgb="FF000000"/>
      <name val="Calibri"/>
      <charset val="1"/>
    </font>
    <font>
      <sz val="11"/>
      <color rgb="FF000000"/>
      <name val="Calibri"/>
      <charset val="1"/>
    </font>
    <font>
      <sz val="11"/>
      <name val="Calibri"/>
      <charset val="1"/>
    </font>
    <font>
      <b/>
      <sz val="11"/>
      <name val="Calibri"/>
      <charset val="1"/>
    </font>
    <font>
      <sz val="11"/>
      <color rgb="FF008000"/>
      <name val="Calibri"/>
      <charset val="1"/>
    </font>
    <font>
      <i/>
      <sz val="9"/>
      <color rgb="FF666666"/>
      <name val="Calibri"/>
      <charset val="1"/>
    </font>
    <font>
      <b/>
      <sz val="13.5"/>
      <color rgb="FF5F6368"/>
      <name val="Arial"/>
      <family val="2"/>
    </font>
    <font>
      <b/>
      <sz val="13.5"/>
      <color rgb="FF1F1F1F"/>
      <name val="Arial"/>
      <family val="2"/>
    </font>
    <font>
      <sz val="10"/>
      <color rgb="FF555555"/>
      <name val="Segoe UI"/>
      <family val="2"/>
    </font>
    <font>
      <sz val="10"/>
      <color rgb="FF555555"/>
      <name val="Segoe UI"/>
      <family val="2"/>
    </font>
    <font>
      <u/>
      <sz val="11"/>
      <color theme="10"/>
      <name val="Calibri"/>
      <family val="2"/>
      <charset val="1"/>
    </font>
    <font>
      <sz val="13"/>
      <color rgb="FF1F1F1F"/>
      <name val="Arial"/>
      <family val="2"/>
    </font>
    <font>
      <sz val="11"/>
      <color rgb="FF000000"/>
      <name val="Arial"/>
      <family val="2"/>
    </font>
  </fonts>
  <fills count="5">
    <fill>
      <patternFill patternType="none"/>
    </fill>
    <fill>
      <patternFill patternType="gray125"/>
    </fill>
    <fill>
      <patternFill patternType="solid">
        <fgColor rgb="FF1F3864"/>
        <bgColor rgb="FF333333"/>
      </patternFill>
    </fill>
    <fill>
      <patternFill patternType="solid">
        <fgColor rgb="FFDCE6F1"/>
        <bgColor rgb="FFCCFFFF"/>
      </patternFill>
    </fill>
    <fill>
      <patternFill patternType="solid">
        <fgColor rgb="FFFFFF00"/>
        <bgColor rgb="FFFFFF00"/>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2">
    <xf numFmtId="0" fontId="0" fillId="0" borderId="0"/>
    <xf numFmtId="0" fontId="26" fillId="0" borderId="0" applyNumberFormat="0" applyFill="0" applyBorder="0" applyAlignment="0" applyProtection="0"/>
  </cellStyleXfs>
  <cellXfs count="57">
    <xf numFmtId="0" fontId="0" fillId="0" borderId="0" xfId="0"/>
    <xf numFmtId="0" fontId="2" fillId="0" borderId="0" xfId="0" applyFont="1"/>
    <xf numFmtId="0" fontId="21" fillId="0" borderId="0" xfId="0" applyFont="1"/>
    <xf numFmtId="0" fontId="19"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xf numFmtId="164" fontId="5" fillId="0" borderId="1" xfId="0" applyNumberFormat="1" applyFont="1" applyBorder="1"/>
    <xf numFmtId="0" fontId="2" fillId="0" borderId="1" xfId="0" applyFont="1" applyBorder="1"/>
    <xf numFmtId="0" fontId="6" fillId="3" borderId="1" xfId="0" applyFont="1" applyFill="1" applyBorder="1"/>
    <xf numFmtId="164" fontId="6" fillId="3" borderId="1" xfId="0" applyNumberFormat="1" applyFont="1" applyFill="1" applyBorder="1"/>
    <xf numFmtId="0" fontId="0" fillId="3" borderId="1" xfId="0" applyFill="1" applyBorder="1"/>
    <xf numFmtId="0" fontId="7" fillId="0" borderId="0" xfId="0" applyFont="1"/>
    <xf numFmtId="0" fontId="8" fillId="2" borderId="1" xfId="0" applyFont="1" applyFill="1" applyBorder="1"/>
    <xf numFmtId="164" fontId="8" fillId="2" borderId="1" xfId="0" applyNumberFormat="1" applyFont="1" applyFill="1" applyBorder="1"/>
    <xf numFmtId="0" fontId="0" fillId="2" borderId="1" xfId="0" applyFill="1" applyBorder="1"/>
    <xf numFmtId="0" fontId="3" fillId="2" borderId="0" xfId="0" applyFont="1" applyFill="1"/>
    <xf numFmtId="0" fontId="4" fillId="0" borderId="0" xfId="0" applyFont="1"/>
    <xf numFmtId="164" fontId="5" fillId="0" borderId="0" xfId="0" applyNumberFormat="1" applyFont="1"/>
    <xf numFmtId="0" fontId="6" fillId="3" borderId="0" xfId="0" applyFont="1" applyFill="1"/>
    <xf numFmtId="164" fontId="6" fillId="3" borderId="0" xfId="0" applyNumberFormat="1" applyFont="1" applyFill="1"/>
    <xf numFmtId="0" fontId="8" fillId="2" borderId="0" xfId="0" applyFont="1" applyFill="1"/>
    <xf numFmtId="164" fontId="8" fillId="2" borderId="0" xfId="0" applyNumberFormat="1" applyFont="1" applyFill="1"/>
    <xf numFmtId="0" fontId="9" fillId="0" borderId="0" xfId="0" applyFont="1"/>
    <xf numFmtId="164" fontId="10" fillId="0" borderId="0" xfId="0" applyNumberFormat="1" applyFont="1"/>
    <xf numFmtId="0" fontId="6" fillId="0" borderId="0" xfId="0" applyFont="1"/>
    <xf numFmtId="164" fontId="6" fillId="0" borderId="0" xfId="0" applyNumberFormat="1" applyFont="1"/>
    <xf numFmtId="164" fontId="4" fillId="0" borderId="0" xfId="0" applyNumberFormat="1" applyFont="1"/>
    <xf numFmtId="1" fontId="6" fillId="3" borderId="0" xfId="0" applyNumberFormat="1" applyFont="1" applyFill="1"/>
    <xf numFmtId="0" fontId="11" fillId="0" borderId="0" xfId="0" applyFont="1"/>
    <xf numFmtId="0" fontId="12" fillId="0" borderId="0" xfId="0" applyFont="1"/>
    <xf numFmtId="0" fontId="13" fillId="0" borderId="0" xfId="0" applyFont="1"/>
    <xf numFmtId="0" fontId="14" fillId="2" borderId="0" xfId="0" applyFont="1" applyFill="1"/>
    <xf numFmtId="0" fontId="15" fillId="4" borderId="0" xfId="0" applyFont="1" applyFill="1"/>
    <xf numFmtId="164" fontId="15" fillId="4" borderId="0" xfId="0" applyNumberFormat="1" applyFont="1" applyFill="1"/>
    <xf numFmtId="164" fontId="16" fillId="3" borderId="0" xfId="0" applyNumberFormat="1" applyFont="1" applyFill="1"/>
    <xf numFmtId="1" fontId="17" fillId="0" borderId="0" xfId="0" applyNumberFormat="1" applyFont="1"/>
    <xf numFmtId="0" fontId="18" fillId="0" borderId="0" xfId="0" applyFont="1"/>
    <xf numFmtId="164" fontId="14" fillId="2" borderId="0" xfId="0" applyNumberFormat="1" applyFont="1" applyFill="1"/>
    <xf numFmtId="0" fontId="12" fillId="0" borderId="0" xfId="0" applyFont="1" applyAlignment="1">
      <alignment vertical="top" wrapText="1"/>
    </xf>
    <xf numFmtId="164" fontId="19" fillId="3" borderId="0" xfId="0" applyNumberFormat="1" applyFont="1" applyFill="1"/>
    <xf numFmtId="164" fontId="18" fillId="0" borderId="0" xfId="0" applyNumberFormat="1" applyFont="1"/>
    <xf numFmtId="164" fontId="18" fillId="3" borderId="0" xfId="0" applyNumberFormat="1" applyFont="1" applyFill="1"/>
    <xf numFmtId="164" fontId="20" fillId="0" borderId="0" xfId="0" applyNumberFormat="1" applyFont="1"/>
    <xf numFmtId="1" fontId="5" fillId="0" borderId="0" xfId="0" applyNumberFormat="1" applyFont="1"/>
    <xf numFmtId="1" fontId="4" fillId="0" borderId="0" xfId="0" applyNumberFormat="1" applyFont="1"/>
    <xf numFmtId="165" fontId="5" fillId="4" borderId="0" xfId="0" applyNumberFormat="1" applyFont="1" applyFill="1"/>
    <xf numFmtId="0" fontId="5" fillId="4" borderId="0" xfId="0" applyFont="1" applyFill="1"/>
    <xf numFmtId="0" fontId="23" fillId="0" borderId="0" xfId="0" applyFont="1" applyAlignment="1">
      <alignment horizontal="left" vertical="center"/>
    </xf>
    <xf numFmtId="0" fontId="24" fillId="0" borderId="0" xfId="0" applyFont="1"/>
    <xf numFmtId="0" fontId="25" fillId="0" borderId="0" xfId="0" applyFont="1"/>
    <xf numFmtId="0" fontId="26" fillId="0" borderId="0" xfId="1"/>
    <xf numFmtId="0" fontId="2" fillId="0" borderId="0" xfId="0" applyFont="1"/>
    <xf numFmtId="0" fontId="19" fillId="0" borderId="0" xfId="0" applyFont="1"/>
    <xf numFmtId="0" fontId="21" fillId="0" borderId="0" xfId="0" applyFont="1"/>
    <xf numFmtId="0" fontId="27" fillId="0" borderId="0" xfId="0" applyFont="1"/>
    <xf numFmtId="0" fontId="28"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mazon.co.uk/dp/B0DJZFTP56?ref=ppx_yo2ov_dt_b_fed_asin_title" TargetMode="External"/><Relationship Id="rId7" Type="http://schemas.openxmlformats.org/officeDocument/2006/relationships/hyperlink" Target="https://www.amazon.co.uk/dp/B094454Q6P?ref=ppx_yo2ov_dt_b_fed_asin_title" TargetMode="External"/><Relationship Id="rId2" Type="http://schemas.openxmlformats.org/officeDocument/2006/relationships/hyperlink" Target="https://www.amazon.co.uk/dp/B0DXY7Q984?ref=ppx_yo2ov_dt_b_fed_asin_title" TargetMode="External"/><Relationship Id="rId1" Type="http://schemas.openxmlformats.org/officeDocument/2006/relationships/hyperlink" Target="https://www.amazon.co.uk/dp/B0DK3V552G?ref=ppx_yo2ov_dt_b_fed_asin_title" TargetMode="External"/><Relationship Id="rId6" Type="http://schemas.openxmlformats.org/officeDocument/2006/relationships/hyperlink" Target="https://www.amazon.co.uk/dp/B0DFZ6585M?ref=ppx_yo2ov_dt_b_fed_asin_title" TargetMode="External"/><Relationship Id="rId5" Type="http://schemas.openxmlformats.org/officeDocument/2006/relationships/hyperlink" Target="https://www.amazon.co.uk/dp/B0BNQW8LY3?ref=ppx_yo2ov_dt_b_fed_asin_title" TargetMode="External"/><Relationship Id="rId4" Type="http://schemas.openxmlformats.org/officeDocument/2006/relationships/hyperlink" Target="https://www.amazon.co.uk/dp/B082WLC8BJ?ref=ppx_yo2ov_dt_b_fed_asin_tit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zoomScaleNormal="100" workbookViewId="0">
      <pane ySplit="4" topLeftCell="A43" activePane="bottomLeft" state="frozen"/>
      <selection pane="bottomLeft" activeCell="B45" sqref="B45"/>
    </sheetView>
  </sheetViews>
  <sheetFormatPr defaultColWidth="8.6640625" defaultRowHeight="14.4" x14ac:dyDescent="0.3"/>
  <cols>
    <col min="1" max="1" width="42" customWidth="1"/>
    <col min="2" max="3" width="14" customWidth="1"/>
    <col min="4" max="4" width="46" customWidth="1"/>
  </cols>
  <sheetData>
    <row r="1" spans="1:5" ht="17.25" customHeight="1" x14ac:dyDescent="0.3">
      <c r="A1" s="4" t="s">
        <v>0</v>
      </c>
    </row>
    <row r="2" spans="1:5" ht="15" customHeight="1" x14ac:dyDescent="0.3">
      <c r="A2" s="1" t="s">
        <v>1</v>
      </c>
    </row>
    <row r="4" spans="1:5" ht="15" customHeight="1" x14ac:dyDescent="0.3">
      <c r="A4" s="5" t="s">
        <v>2</v>
      </c>
      <c r="B4" s="5" t="s">
        <v>3</v>
      </c>
      <c r="C4" s="5" t="s">
        <v>4</v>
      </c>
      <c r="D4" s="5" t="s">
        <v>5</v>
      </c>
    </row>
    <row r="5" spans="1:5" ht="15" customHeight="1" x14ac:dyDescent="0.3">
      <c r="A5" s="6" t="s">
        <v>6</v>
      </c>
      <c r="B5" s="7">
        <v>370</v>
      </c>
      <c r="C5" s="6" t="s">
        <v>7</v>
      </c>
      <c r="D5" s="8" t="s">
        <v>8</v>
      </c>
    </row>
    <row r="6" spans="1:5" ht="15" customHeight="1" x14ac:dyDescent="0.3">
      <c r="A6" s="6" t="s">
        <v>9</v>
      </c>
      <c r="B6" s="7">
        <v>0</v>
      </c>
      <c r="C6" s="6" t="s">
        <v>7</v>
      </c>
      <c r="D6" s="8" t="s">
        <v>10</v>
      </c>
      <c r="E6" t="s">
        <v>177</v>
      </c>
    </row>
    <row r="7" spans="1:5" ht="15" customHeight="1" x14ac:dyDescent="0.3">
      <c r="A7" s="6" t="s">
        <v>11</v>
      </c>
      <c r="B7" s="7">
        <v>0</v>
      </c>
      <c r="C7" s="6" t="s">
        <v>7</v>
      </c>
      <c r="D7" s="8" t="s">
        <v>12</v>
      </c>
      <c r="E7" t="s">
        <v>177</v>
      </c>
    </row>
    <row r="8" spans="1:5" ht="15" customHeight="1" x14ac:dyDescent="0.3">
      <c r="A8" s="6" t="s">
        <v>13</v>
      </c>
      <c r="B8" s="7">
        <v>105</v>
      </c>
      <c r="C8" s="6" t="s">
        <v>7</v>
      </c>
      <c r="D8" s="8" t="s">
        <v>14</v>
      </c>
      <c r="E8" s="48" t="s">
        <v>178</v>
      </c>
    </row>
    <row r="9" spans="1:5" ht="15" customHeight="1" x14ac:dyDescent="0.3">
      <c r="A9" s="6" t="s">
        <v>15</v>
      </c>
      <c r="B9" s="7">
        <v>0</v>
      </c>
      <c r="C9" s="6" t="s">
        <v>7</v>
      </c>
      <c r="D9" s="8" t="s">
        <v>16</v>
      </c>
    </row>
    <row r="10" spans="1:5" ht="15" customHeight="1" x14ac:dyDescent="0.3">
      <c r="A10" t="s">
        <v>17</v>
      </c>
      <c r="B10">
        <v>38</v>
      </c>
      <c r="C10" t="s">
        <v>7</v>
      </c>
      <c r="D10" t="s">
        <v>18</v>
      </c>
    </row>
    <row r="11" spans="1:5" x14ac:dyDescent="0.3">
      <c r="A11" t="s">
        <v>19</v>
      </c>
      <c r="B11">
        <v>7</v>
      </c>
      <c r="C11" t="s">
        <v>7</v>
      </c>
      <c r="D11" t="s">
        <v>20</v>
      </c>
    </row>
    <row r="12" spans="1:5" ht="15" customHeight="1" x14ac:dyDescent="0.3">
      <c r="A12" t="s">
        <v>21</v>
      </c>
      <c r="B12">
        <v>5</v>
      </c>
      <c r="C12" t="s">
        <v>7</v>
      </c>
      <c r="D12" t="s">
        <v>22</v>
      </c>
    </row>
    <row r="13" spans="1:5" ht="15" customHeight="1" x14ac:dyDescent="0.35">
      <c r="A13" s="49" t="s">
        <v>179</v>
      </c>
      <c r="B13">
        <v>4</v>
      </c>
    </row>
    <row r="14" spans="1:5" ht="15" customHeight="1" x14ac:dyDescent="0.3">
      <c r="A14" s="9" t="s">
        <v>23</v>
      </c>
      <c r="B14" s="10">
        <f>SUM(B5:B13)</f>
        <v>529</v>
      </c>
      <c r="C14" s="11"/>
      <c r="D14" s="11"/>
    </row>
    <row r="15" spans="1:5" ht="15" customHeight="1" x14ac:dyDescent="0.3"/>
    <row r="16" spans="1:5" ht="15" customHeight="1" x14ac:dyDescent="0.3">
      <c r="A16" s="12" t="s">
        <v>24</v>
      </c>
    </row>
    <row r="17" spans="1:7" ht="15" customHeight="1" x14ac:dyDescent="0.3">
      <c r="A17" s="5" t="s">
        <v>2</v>
      </c>
      <c r="B17" s="5" t="s">
        <v>3</v>
      </c>
      <c r="C17" s="5" t="s">
        <v>4</v>
      </c>
      <c r="D17" s="5" t="s">
        <v>5</v>
      </c>
    </row>
    <row r="18" spans="1:7" ht="15" customHeight="1" x14ac:dyDescent="0.3">
      <c r="A18" s="6" t="s">
        <v>25</v>
      </c>
      <c r="B18" s="7">
        <v>96</v>
      </c>
      <c r="C18" s="6" t="s">
        <v>26</v>
      </c>
      <c r="D18" s="8" t="s">
        <v>27</v>
      </c>
    </row>
    <row r="19" spans="1:7" x14ac:dyDescent="0.3">
      <c r="A19" s="6" t="s">
        <v>28</v>
      </c>
      <c r="B19" s="7">
        <v>249.99</v>
      </c>
      <c r="C19" s="6" t="s">
        <v>29</v>
      </c>
      <c r="D19" s="8" t="s">
        <v>30</v>
      </c>
    </row>
    <row r="20" spans="1:7" ht="15" customHeight="1" x14ac:dyDescent="0.3">
      <c r="A20" s="6" t="s">
        <v>31</v>
      </c>
      <c r="B20" s="7">
        <v>11.19</v>
      </c>
      <c r="C20" s="6" t="s">
        <v>29</v>
      </c>
      <c r="D20" s="8" t="s">
        <v>32</v>
      </c>
    </row>
    <row r="21" spans="1:7" ht="15" customHeight="1" x14ac:dyDescent="0.3">
      <c r="A21" s="6" t="s">
        <v>33</v>
      </c>
      <c r="B21" s="7">
        <v>250</v>
      </c>
      <c r="C21" s="6" t="s">
        <v>7</v>
      </c>
      <c r="D21" s="8" t="s">
        <v>34</v>
      </c>
    </row>
    <row r="22" spans="1:7" x14ac:dyDescent="0.3">
      <c r="A22" s="9" t="s">
        <v>35</v>
      </c>
      <c r="B22" s="10">
        <f>SUM(B18:B21)</f>
        <v>607.18000000000006</v>
      </c>
      <c r="C22" s="11"/>
      <c r="D22" s="11"/>
    </row>
    <row r="23" spans="1:7" ht="15" customHeight="1" x14ac:dyDescent="0.3"/>
    <row r="24" spans="1:7" ht="15" customHeight="1" x14ac:dyDescent="0.3">
      <c r="A24" s="13" t="s">
        <v>36</v>
      </c>
      <c r="B24" s="14">
        <f>B14+B18</f>
        <v>625</v>
      </c>
      <c r="C24" s="15"/>
      <c r="D24" s="15"/>
    </row>
    <row r="26" spans="1:7" x14ac:dyDescent="0.3">
      <c r="A26" s="1" t="s">
        <v>37</v>
      </c>
    </row>
    <row r="27" spans="1:7" x14ac:dyDescent="0.3">
      <c r="A27" s="1" t="s">
        <v>38</v>
      </c>
    </row>
    <row r="29" spans="1:7" x14ac:dyDescent="0.3">
      <c r="A29" s="12" t="s">
        <v>39</v>
      </c>
    </row>
    <row r="30" spans="1:7" x14ac:dyDescent="0.3">
      <c r="A30" s="16" t="s">
        <v>2</v>
      </c>
      <c r="B30" s="16" t="s">
        <v>3</v>
      </c>
      <c r="C30" s="16" t="s">
        <v>4</v>
      </c>
      <c r="D30" s="16" t="s">
        <v>5</v>
      </c>
      <c r="E30" s="16" t="s">
        <v>180</v>
      </c>
    </row>
    <row r="31" spans="1:7" ht="15" x14ac:dyDescent="0.35">
      <c r="A31" s="50" t="s">
        <v>181</v>
      </c>
      <c r="B31" s="18">
        <v>13</v>
      </c>
      <c r="C31" s="17"/>
      <c r="D31" s="1"/>
      <c r="E31">
        <v>25</v>
      </c>
      <c r="F31">
        <f>B31/E31</f>
        <v>0.52</v>
      </c>
      <c r="G31" t="s">
        <v>192</v>
      </c>
    </row>
    <row r="32" spans="1:7" ht="15" x14ac:dyDescent="0.35">
      <c r="A32" s="50" t="s">
        <v>182</v>
      </c>
      <c r="B32" s="18">
        <v>8</v>
      </c>
      <c r="C32" s="17" t="s">
        <v>40</v>
      </c>
      <c r="D32" s="1" t="s">
        <v>41</v>
      </c>
      <c r="E32">
        <v>10</v>
      </c>
      <c r="F32">
        <f t="shared" ref="F32:F40" si="0">B32/E32</f>
        <v>0.8</v>
      </c>
      <c r="G32" t="s">
        <v>192</v>
      </c>
    </row>
    <row r="33" spans="1:9" ht="15" x14ac:dyDescent="0.35">
      <c r="A33" s="50" t="s">
        <v>183</v>
      </c>
      <c r="B33" s="18">
        <v>5.85</v>
      </c>
      <c r="C33" s="17" t="s">
        <v>40</v>
      </c>
      <c r="D33" s="1" t="s">
        <v>42</v>
      </c>
      <c r="E33">
        <v>10</v>
      </c>
      <c r="F33">
        <f t="shared" si="0"/>
        <v>0.58499999999999996</v>
      </c>
      <c r="G33" t="s">
        <v>192</v>
      </c>
    </row>
    <row r="34" spans="1:9" x14ac:dyDescent="0.3">
      <c r="A34" s="51" t="s">
        <v>184</v>
      </c>
      <c r="B34" s="18">
        <v>6</v>
      </c>
      <c r="C34" s="17"/>
      <c r="D34" s="1"/>
      <c r="E34">
        <v>25</v>
      </c>
      <c r="F34">
        <f t="shared" si="0"/>
        <v>0.24</v>
      </c>
      <c r="G34" t="s">
        <v>191</v>
      </c>
    </row>
    <row r="35" spans="1:9" x14ac:dyDescent="0.3">
      <c r="A35" s="51" t="s">
        <v>185</v>
      </c>
      <c r="B35" s="18">
        <v>7.37</v>
      </c>
      <c r="C35" s="17"/>
      <c r="D35" s="1"/>
      <c r="E35">
        <v>50</v>
      </c>
      <c r="F35">
        <f t="shared" si="0"/>
        <v>0.1474</v>
      </c>
      <c r="G35" t="s">
        <v>191</v>
      </c>
    </row>
    <row r="36" spans="1:9" x14ac:dyDescent="0.3">
      <c r="A36" s="51" t="s">
        <v>186</v>
      </c>
      <c r="B36" s="18">
        <v>6</v>
      </c>
      <c r="C36" s="17"/>
      <c r="D36" s="1"/>
      <c r="E36">
        <v>25</v>
      </c>
      <c r="F36">
        <f t="shared" si="0"/>
        <v>0.24</v>
      </c>
      <c r="G36" t="s">
        <v>191</v>
      </c>
    </row>
    <row r="37" spans="1:9" x14ac:dyDescent="0.3">
      <c r="A37" s="51" t="s">
        <v>187</v>
      </c>
      <c r="B37" s="18">
        <v>9</v>
      </c>
      <c r="C37" s="17"/>
      <c r="D37" s="1"/>
      <c r="E37">
        <v>100</v>
      </c>
      <c r="F37">
        <f t="shared" si="0"/>
        <v>0.09</v>
      </c>
      <c r="G37" t="s">
        <v>191</v>
      </c>
    </row>
    <row r="38" spans="1:9" x14ac:dyDescent="0.3">
      <c r="A38" s="51" t="s">
        <v>188</v>
      </c>
      <c r="B38" s="18">
        <v>5</v>
      </c>
      <c r="C38" s="17"/>
      <c r="D38" s="1"/>
      <c r="E38">
        <v>40</v>
      </c>
      <c r="F38">
        <f t="shared" si="0"/>
        <v>0.125</v>
      </c>
      <c r="G38" t="s">
        <v>191</v>
      </c>
    </row>
    <row r="39" spans="1:9" x14ac:dyDescent="0.3">
      <c r="A39" s="51" t="s">
        <v>189</v>
      </c>
      <c r="B39" s="18">
        <v>6.09</v>
      </c>
      <c r="C39" s="17"/>
      <c r="D39" s="1"/>
      <c r="E39">
        <v>10</v>
      </c>
      <c r="F39">
        <f t="shared" si="0"/>
        <v>0.60899999999999999</v>
      </c>
      <c r="G39" t="s">
        <v>191</v>
      </c>
    </row>
    <row r="40" spans="1:9" x14ac:dyDescent="0.3">
      <c r="A40" s="51" t="s">
        <v>190</v>
      </c>
      <c r="B40" s="18">
        <v>10</v>
      </c>
      <c r="C40" s="17"/>
      <c r="D40" s="1"/>
      <c r="E40">
        <v>50</v>
      </c>
      <c r="F40">
        <f t="shared" si="0"/>
        <v>0.2</v>
      </c>
      <c r="G40" t="s">
        <v>191</v>
      </c>
    </row>
    <row r="41" spans="1:9" x14ac:dyDescent="0.3">
      <c r="A41" t="s">
        <v>193</v>
      </c>
      <c r="B41" s="18">
        <v>13</v>
      </c>
      <c r="C41" s="17"/>
      <c r="D41" s="1"/>
      <c r="E41">
        <v>20</v>
      </c>
      <c r="F41">
        <f>(B41+I41)/E41</f>
        <v>0.85</v>
      </c>
      <c r="G41" t="s">
        <v>196</v>
      </c>
      <c r="H41" t="s">
        <v>195</v>
      </c>
      <c r="I41">
        <v>4</v>
      </c>
    </row>
    <row r="42" spans="1:9" x14ac:dyDescent="0.3">
      <c r="A42" t="s">
        <v>194</v>
      </c>
      <c r="B42" s="18">
        <v>13</v>
      </c>
      <c r="C42" s="17"/>
      <c r="D42" s="1"/>
      <c r="E42">
        <v>20</v>
      </c>
      <c r="F42">
        <f>(B42+I42)/E42</f>
        <v>0.85</v>
      </c>
      <c r="G42" t="s">
        <v>196</v>
      </c>
      <c r="H42" t="s">
        <v>195</v>
      </c>
      <c r="I42">
        <v>4</v>
      </c>
    </row>
    <row r="43" spans="1:9" x14ac:dyDescent="0.3">
      <c r="A43" s="19" t="s">
        <v>43</v>
      </c>
      <c r="B43" s="20">
        <f>SUM(B31:B42)</f>
        <v>102.31</v>
      </c>
    </row>
    <row r="45" spans="1:9" ht="15.6" x14ac:dyDescent="0.3">
      <c r="A45" s="21" t="s">
        <v>44</v>
      </c>
      <c r="B45" s="22">
        <f>B14+B43</f>
        <v>631.30999999999995</v>
      </c>
    </row>
    <row r="46" spans="1:9" x14ac:dyDescent="0.3">
      <c r="A46" s="52" t="s">
        <v>45</v>
      </c>
      <c r="B46" s="52"/>
      <c r="C46" s="52"/>
      <c r="D46" s="52"/>
    </row>
    <row r="48" spans="1:9" ht="15.6" x14ac:dyDescent="0.3">
      <c r="A48" s="23" t="s">
        <v>46</v>
      </c>
    </row>
    <row r="49" spans="1:4" x14ac:dyDescent="0.3">
      <c r="A49" s="52" t="s">
        <v>47</v>
      </c>
      <c r="B49" s="52"/>
      <c r="C49" s="52"/>
      <c r="D49" s="52"/>
    </row>
    <row r="51" spans="1:4" x14ac:dyDescent="0.3">
      <c r="A51" s="17" t="s">
        <v>48</v>
      </c>
      <c r="B51" s="18">
        <v>6</v>
      </c>
      <c r="D51" s="1" t="s">
        <v>49</v>
      </c>
    </row>
    <row r="52" spans="1:4" x14ac:dyDescent="0.3">
      <c r="A52" s="17" t="s">
        <v>50</v>
      </c>
      <c r="B52" s="24">
        <f>'Bin Stickers 100x150 4pk'!B68</f>
        <v>23.506</v>
      </c>
      <c r="D52" s="1" t="s">
        <v>51</v>
      </c>
    </row>
    <row r="53" spans="1:4" x14ac:dyDescent="0.3">
      <c r="A53" s="25" t="s">
        <v>52</v>
      </c>
      <c r="B53" s="26">
        <f>B51-B52</f>
        <v>-17.506</v>
      </c>
    </row>
    <row r="55" spans="1:4" x14ac:dyDescent="0.3">
      <c r="A55" s="17" t="s">
        <v>53</v>
      </c>
      <c r="B55" s="27">
        <f>B45</f>
        <v>631.30999999999995</v>
      </c>
    </row>
    <row r="56" spans="1:4" x14ac:dyDescent="0.3">
      <c r="A56" s="19" t="s">
        <v>54</v>
      </c>
      <c r="B56" s="28">
        <f>IFERROR(B55/B53,"N/A")</f>
        <v>-36.062492859590996</v>
      </c>
    </row>
    <row r="57" spans="1:4" x14ac:dyDescent="0.3">
      <c r="A57" s="19" t="s">
        <v>55</v>
      </c>
      <c r="B57" s="28">
        <f>IFERROR(B56*'Bin Stickers 100x150 4pk'!B7,"N/A")</f>
        <v>-144.24997143836399</v>
      </c>
    </row>
    <row r="59" spans="1:4" x14ac:dyDescent="0.3">
      <c r="A59" s="52" t="s">
        <v>56</v>
      </c>
      <c r="B59" s="52"/>
      <c r="C59" s="52"/>
      <c r="D59" s="52"/>
    </row>
  </sheetData>
  <mergeCells count="3">
    <mergeCell ref="A46:D46"/>
    <mergeCell ref="A49:D49"/>
    <mergeCell ref="A59:D59"/>
  </mergeCells>
  <hyperlinks>
    <hyperlink ref="A34" r:id="rId1" display="https://www.amazon.co.uk/dp/B0DK3V552G?ref=ppx_yo2ov_dt_b_fed_asin_title" xr:uid="{A9C8AD4F-C0F2-4B99-B059-0E9F2D2424A2}"/>
    <hyperlink ref="A35" r:id="rId2" display="https://www.amazon.co.uk/dp/B0DXY7Q984?ref=ppx_yo2ov_dt_b_fed_asin_title" xr:uid="{AB31E489-0250-4669-97F2-EAF798F19B62}"/>
    <hyperlink ref="A36" r:id="rId3" display="https://www.amazon.co.uk/dp/B0DJZFTP56?ref=ppx_yo2ov_dt_b_fed_asin_title" xr:uid="{C948CAFA-9C08-4728-9912-18E8497EE6AE}"/>
    <hyperlink ref="A37" r:id="rId4" display="https://www.amazon.co.uk/dp/B082WLC8BJ?ref=ppx_yo2ov_dt_b_fed_asin_title" xr:uid="{72A31724-3B9B-4489-B08D-FE4A178541E1}"/>
    <hyperlink ref="A38" r:id="rId5" display="https://www.amazon.co.uk/dp/B0BNQW8LY3?ref=ppx_yo2ov_dt_b_fed_asin_title" xr:uid="{9811E86E-C503-4D1D-B2D2-F0C78911EB80}"/>
    <hyperlink ref="A39" r:id="rId6" display="https://www.amazon.co.uk/dp/B0DFZ6585M?ref=ppx_yo2ov_dt_b_fed_asin_title" xr:uid="{41981F4F-A3B7-41C8-A422-E74EF0BB9B1D}"/>
    <hyperlink ref="A40" r:id="rId7" display="https://www.amazon.co.uk/dp/B094454Q6P?ref=ppx_yo2ov_dt_b_fed_asin_title" xr:uid="{7DBA85D2-65A4-4DBA-9873-46396AB68A6E}"/>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1"/>
  <sheetViews>
    <sheetView topLeftCell="A60" zoomScaleNormal="100" workbookViewId="0">
      <selection activeCell="B58" sqref="B58"/>
    </sheetView>
  </sheetViews>
  <sheetFormatPr defaultColWidth="8.6640625" defaultRowHeight="14.4" x14ac:dyDescent="0.3"/>
  <cols>
    <col min="1" max="1" width="46" customWidth="1"/>
    <col min="2" max="2" width="16" customWidth="1"/>
    <col min="3" max="3" width="55" customWidth="1"/>
  </cols>
  <sheetData>
    <row r="1" spans="1:3" ht="17.25" customHeight="1" x14ac:dyDescent="0.35">
      <c r="A1" s="29" t="s">
        <v>57</v>
      </c>
    </row>
    <row r="2" spans="1:3" ht="14.25" customHeight="1" x14ac:dyDescent="0.3">
      <c r="A2" s="30" t="s">
        <v>58</v>
      </c>
    </row>
    <row r="4" spans="1:3" ht="14.25" customHeight="1" x14ac:dyDescent="0.3">
      <c r="A4" s="31" t="s">
        <v>59</v>
      </c>
    </row>
    <row r="5" spans="1:3" ht="14.25" customHeight="1" x14ac:dyDescent="0.3">
      <c r="A5" s="32" t="s">
        <v>2</v>
      </c>
      <c r="B5" s="32" t="s">
        <v>60</v>
      </c>
      <c r="C5" s="32" t="s">
        <v>5</v>
      </c>
    </row>
    <row r="6" spans="1:3" ht="14.25" customHeight="1" x14ac:dyDescent="0.3">
      <c r="A6" t="s">
        <v>61</v>
      </c>
      <c r="B6" s="33" t="s">
        <v>62</v>
      </c>
      <c r="C6" s="30" t="s">
        <v>63</v>
      </c>
    </row>
    <row r="7" spans="1:3" ht="14.25" customHeight="1" x14ac:dyDescent="0.3">
      <c r="A7" t="s">
        <v>64</v>
      </c>
      <c r="B7" s="33">
        <v>4</v>
      </c>
      <c r="C7" s="30" t="s">
        <v>65</v>
      </c>
    </row>
    <row r="8" spans="1:3" ht="14.25" customHeight="1" x14ac:dyDescent="0.3">
      <c r="A8" t="s">
        <v>66</v>
      </c>
      <c r="B8" s="33">
        <v>1</v>
      </c>
      <c r="C8" s="30" t="s">
        <v>67</v>
      </c>
    </row>
    <row r="10" spans="1:3" ht="14.25" customHeight="1" x14ac:dyDescent="0.3">
      <c r="A10" s="31" t="s">
        <v>68</v>
      </c>
    </row>
    <row r="11" spans="1:3" ht="14.25" customHeight="1" x14ac:dyDescent="0.3">
      <c r="A11" s="32" t="s">
        <v>2</v>
      </c>
      <c r="B11" s="32" t="s">
        <v>69</v>
      </c>
      <c r="C11" s="32" t="s">
        <v>5</v>
      </c>
    </row>
    <row r="12" spans="1:3" ht="14.25" customHeight="1" x14ac:dyDescent="0.3">
      <c r="A12" t="s">
        <v>70</v>
      </c>
      <c r="B12" s="34">
        <v>0.4</v>
      </c>
      <c r="C12" s="30" t="s">
        <v>71</v>
      </c>
    </row>
    <row r="13" spans="1:3" ht="14.25" customHeight="1" x14ac:dyDescent="0.3">
      <c r="A13" t="s">
        <v>72</v>
      </c>
      <c r="B13" s="34">
        <v>0.2</v>
      </c>
      <c r="C13" s="30" t="s">
        <v>73</v>
      </c>
    </row>
    <row r="14" spans="1:3" ht="14.25" customHeight="1" x14ac:dyDescent="0.3">
      <c r="A14" t="s">
        <v>74</v>
      </c>
      <c r="B14" s="34">
        <v>0.05</v>
      </c>
      <c r="C14" s="30" t="s">
        <v>75</v>
      </c>
    </row>
    <row r="15" spans="1:3" ht="14.25" customHeight="1" x14ac:dyDescent="0.3">
      <c r="A15" t="s">
        <v>76</v>
      </c>
      <c r="B15" s="35">
        <f>SUM(B12:B14)</f>
        <v>0.65000000000000013</v>
      </c>
    </row>
    <row r="17" spans="1:3" ht="14.25" customHeight="1" x14ac:dyDescent="0.3">
      <c r="A17" t="s">
        <v>77</v>
      </c>
      <c r="B17" s="36">
        <f>B8</f>
        <v>1</v>
      </c>
    </row>
    <row r="18" spans="1:3" ht="14.25" customHeight="1" x14ac:dyDescent="0.3">
      <c r="A18" t="s">
        <v>78</v>
      </c>
      <c r="B18" s="35">
        <f>B15*B17</f>
        <v>0.65000000000000013</v>
      </c>
    </row>
    <row r="20" spans="1:3" ht="14.25" customHeight="1" x14ac:dyDescent="0.3">
      <c r="A20" s="31" t="s">
        <v>79</v>
      </c>
      <c r="B20" s="37"/>
      <c r="C20" s="37"/>
    </row>
    <row r="21" spans="1:3" ht="14.25" customHeight="1" x14ac:dyDescent="0.3">
      <c r="A21" s="32" t="s">
        <v>80</v>
      </c>
      <c r="B21" s="38" t="s">
        <v>81</v>
      </c>
      <c r="C21" s="32" t="s">
        <v>5</v>
      </c>
    </row>
    <row r="22" spans="1:3" ht="54.75" customHeight="1" x14ac:dyDescent="0.3">
      <c r="A22" s="37" t="s">
        <v>82</v>
      </c>
      <c r="B22" s="34">
        <v>0.08</v>
      </c>
      <c r="C22" s="39" t="s">
        <v>83</v>
      </c>
    </row>
    <row r="23" spans="1:3" ht="41.25" customHeight="1" x14ac:dyDescent="0.3">
      <c r="A23" s="37" t="s">
        <v>84</v>
      </c>
      <c r="B23" s="34">
        <v>0.09</v>
      </c>
      <c r="C23" s="39" t="s">
        <v>85</v>
      </c>
    </row>
    <row r="24" spans="1:3" ht="54.75" customHeight="1" x14ac:dyDescent="0.3">
      <c r="A24" s="37" t="s">
        <v>86</v>
      </c>
      <c r="B24" s="34">
        <v>0.12</v>
      </c>
      <c r="C24" s="39" t="s">
        <v>87</v>
      </c>
    </row>
    <row r="25" spans="1:3" ht="14.25" customHeight="1" x14ac:dyDescent="0.3">
      <c r="A25" s="37" t="s">
        <v>88</v>
      </c>
      <c r="B25" s="34">
        <v>0.14000000000000001</v>
      </c>
      <c r="C25" s="39" t="s">
        <v>89</v>
      </c>
    </row>
    <row r="26" spans="1:3" ht="54.75" customHeight="1" x14ac:dyDescent="0.3">
      <c r="A26" s="37"/>
      <c r="B26" s="37"/>
      <c r="C26" s="37"/>
    </row>
    <row r="27" spans="1:3" ht="14.25" customHeight="1" x14ac:dyDescent="0.3">
      <c r="A27" s="37" t="s">
        <v>90</v>
      </c>
      <c r="B27" s="34" t="s">
        <v>82</v>
      </c>
      <c r="C27" s="39" t="s">
        <v>91</v>
      </c>
    </row>
    <row r="28" spans="1:3" x14ac:dyDescent="0.3">
      <c r="A28" s="3" t="s">
        <v>92</v>
      </c>
      <c r="B28" s="40">
        <f>INDEX(B22:B25,MATCH(B27,A22:A25,0))</f>
        <v>0.08</v>
      </c>
      <c r="C28" s="37"/>
    </row>
    <row r="29" spans="1:3" ht="14.25" customHeight="1" x14ac:dyDescent="0.3">
      <c r="A29" s="37"/>
      <c r="B29" s="41"/>
      <c r="C29" s="37"/>
    </row>
    <row r="30" spans="1:3" ht="14.25" customHeight="1" x14ac:dyDescent="0.3">
      <c r="A30" s="3" t="s">
        <v>93</v>
      </c>
      <c r="B30" s="40">
        <f>B18+B28</f>
        <v>0.73000000000000009</v>
      </c>
      <c r="C30" s="37"/>
    </row>
    <row r="31" spans="1:3" x14ac:dyDescent="0.3">
      <c r="A31" s="37" t="s">
        <v>94</v>
      </c>
      <c r="B31" s="42">
        <f>B30/B7</f>
        <v>0.18250000000000002</v>
      </c>
      <c r="C31" s="37"/>
    </row>
    <row r="32" spans="1:3" ht="14.25" customHeight="1" x14ac:dyDescent="0.3">
      <c r="A32" t="s">
        <v>95</v>
      </c>
    </row>
    <row r="33" spans="1:3" ht="14.25" customHeight="1" x14ac:dyDescent="0.3">
      <c r="A33" t="s">
        <v>2</v>
      </c>
      <c r="B33" t="s">
        <v>69</v>
      </c>
      <c r="C33" t="s">
        <v>5</v>
      </c>
    </row>
    <row r="34" spans="1:3" ht="54.75" customHeight="1" x14ac:dyDescent="0.3">
      <c r="A34" t="s">
        <v>96</v>
      </c>
      <c r="B34">
        <v>0.02</v>
      </c>
      <c r="C34" t="s">
        <v>97</v>
      </c>
    </row>
    <row r="35" spans="1:3" ht="27.75" customHeight="1" x14ac:dyDescent="0.3">
      <c r="A35" t="s">
        <v>98</v>
      </c>
      <c r="B35">
        <v>0.01</v>
      </c>
      <c r="C35" t="s">
        <v>99</v>
      </c>
    </row>
    <row r="36" spans="1:3" ht="27.75" customHeight="1" x14ac:dyDescent="0.3">
      <c r="A36" t="s">
        <v>100</v>
      </c>
      <c r="B36">
        <f>SUM(B34:B35)</f>
        <v>0.03</v>
      </c>
    </row>
    <row r="37" spans="1:3" ht="27.75" customHeight="1" x14ac:dyDescent="0.3">
      <c r="A37" s="3" t="s">
        <v>101</v>
      </c>
      <c r="B37" s="40">
        <f>B36+B30</f>
        <v>0.76000000000000012</v>
      </c>
      <c r="C37" s="37"/>
    </row>
    <row r="38" spans="1:3" ht="28.5" customHeight="1" x14ac:dyDescent="0.3">
      <c r="A38" s="31" t="s">
        <v>102</v>
      </c>
      <c r="B38" s="37"/>
      <c r="C38" s="37"/>
    </row>
    <row r="39" spans="1:3" ht="27.75" customHeight="1" x14ac:dyDescent="0.3">
      <c r="A39" s="32" t="s">
        <v>103</v>
      </c>
      <c r="B39" s="38" t="s">
        <v>104</v>
      </c>
      <c r="C39" s="32" t="s">
        <v>5</v>
      </c>
    </row>
    <row r="40" spans="1:3" ht="14.25" customHeight="1" x14ac:dyDescent="0.3">
      <c r="A40" s="37" t="s">
        <v>105</v>
      </c>
      <c r="B40" s="34">
        <v>0.88</v>
      </c>
      <c r="C40" s="39" t="s">
        <v>106</v>
      </c>
    </row>
    <row r="41" spans="1:3" ht="14.25" customHeight="1" x14ac:dyDescent="0.3">
      <c r="A41" s="37" t="s">
        <v>107</v>
      </c>
      <c r="B41" s="34">
        <v>1.55</v>
      </c>
      <c r="C41" s="39" t="s">
        <v>108</v>
      </c>
    </row>
    <row r="42" spans="1:3" ht="14.25" customHeight="1" x14ac:dyDescent="0.3">
      <c r="A42" s="37" t="s">
        <v>109</v>
      </c>
      <c r="B42" s="34">
        <v>1.9</v>
      </c>
      <c r="C42" s="39" t="s">
        <v>110</v>
      </c>
    </row>
    <row r="43" spans="1:3" ht="14.25" customHeight="1" x14ac:dyDescent="0.3">
      <c r="A43" s="37" t="s">
        <v>111</v>
      </c>
      <c r="B43" s="34">
        <v>2.75</v>
      </c>
      <c r="C43" s="39" t="s">
        <v>112</v>
      </c>
    </row>
    <row r="44" spans="1:3" ht="54.75" customHeight="1" x14ac:dyDescent="0.3">
      <c r="A44" s="37" t="s">
        <v>113</v>
      </c>
      <c r="B44" s="34">
        <v>3.65</v>
      </c>
      <c r="C44" s="39" t="s">
        <v>114</v>
      </c>
    </row>
    <row r="45" spans="1:3" ht="45" customHeight="1" x14ac:dyDescent="0.3">
      <c r="A45" s="37" t="s">
        <v>115</v>
      </c>
      <c r="B45" s="34">
        <v>8.75</v>
      </c>
      <c r="C45" s="39" t="s">
        <v>116</v>
      </c>
    </row>
    <row r="46" spans="1:3" ht="14.25" customHeight="1" x14ac:dyDescent="0.3">
      <c r="A46" s="37"/>
      <c r="B46" s="37"/>
      <c r="C46" s="37"/>
    </row>
    <row r="47" spans="1:3" ht="81.75" customHeight="1" x14ac:dyDescent="0.3">
      <c r="A47" s="37" t="s">
        <v>117</v>
      </c>
      <c r="B47" s="34" t="s">
        <v>107</v>
      </c>
      <c r="C47" s="39" t="s">
        <v>118</v>
      </c>
    </row>
    <row r="48" spans="1:3" ht="14.25" customHeight="1" x14ac:dyDescent="0.3">
      <c r="A48" s="3" t="s">
        <v>119</v>
      </c>
      <c r="B48" s="40">
        <f>INDEX(B40:B45,MATCH(B47,A40:A45,0))</f>
        <v>1.55</v>
      </c>
      <c r="C48" s="37"/>
    </row>
    <row r="49" spans="1:3" x14ac:dyDescent="0.3">
      <c r="A49" s="37"/>
      <c r="B49" s="41"/>
      <c r="C49" s="37"/>
    </row>
    <row r="50" spans="1:3" ht="14.25" customHeight="1" x14ac:dyDescent="0.3">
      <c r="A50" s="31" t="s">
        <v>120</v>
      </c>
      <c r="B50" s="37"/>
      <c r="C50" s="37"/>
    </row>
    <row r="51" spans="1:3" ht="14.25" customHeight="1" x14ac:dyDescent="0.3">
      <c r="A51" s="32" t="s">
        <v>2</v>
      </c>
      <c r="B51" s="38" t="s">
        <v>60</v>
      </c>
      <c r="C51" s="32" t="s">
        <v>5</v>
      </c>
    </row>
    <row r="52" spans="1:3" ht="57" customHeight="1" x14ac:dyDescent="0.3">
      <c r="A52" s="37" t="s">
        <v>121</v>
      </c>
      <c r="B52" s="34">
        <v>15.89</v>
      </c>
      <c r="C52" s="39" t="s">
        <v>122</v>
      </c>
    </row>
    <row r="53" spans="1:3" ht="54.75" customHeight="1" x14ac:dyDescent="0.3">
      <c r="A53" s="37" t="s">
        <v>123</v>
      </c>
      <c r="B53" s="34">
        <v>25</v>
      </c>
      <c r="C53" s="37"/>
    </row>
    <row r="54" spans="1:3" x14ac:dyDescent="0.3">
      <c r="A54" s="3" t="s">
        <v>124</v>
      </c>
      <c r="B54" s="40">
        <f>B52/B53</f>
        <v>0.63560000000000005</v>
      </c>
      <c r="C54" s="37"/>
    </row>
    <row r="55" spans="1:3" ht="114.75" customHeight="1" x14ac:dyDescent="0.3">
      <c r="A55" s="37" t="s">
        <v>125</v>
      </c>
      <c r="B55" s="34">
        <v>3</v>
      </c>
      <c r="C55" s="39" t="s">
        <v>126</v>
      </c>
    </row>
    <row r="56" spans="1:3" ht="60" customHeight="1" x14ac:dyDescent="0.3">
      <c r="A56" s="53" t="s">
        <v>127</v>
      </c>
      <c r="B56" s="53"/>
      <c r="C56" s="53"/>
    </row>
    <row r="57" spans="1:3" x14ac:dyDescent="0.3">
      <c r="A57" s="37"/>
      <c r="B57" s="37"/>
      <c r="C57" s="37"/>
    </row>
    <row r="58" spans="1:3" x14ac:dyDescent="0.3">
      <c r="A58" s="3" t="s">
        <v>128</v>
      </c>
      <c r="B58" s="40">
        <f>B30+B48+B56+B36</f>
        <v>2.31</v>
      </c>
      <c r="C58" s="37"/>
    </row>
    <row r="59" spans="1:3" x14ac:dyDescent="0.3">
      <c r="A59" s="37" t="s">
        <v>129</v>
      </c>
      <c r="B59" s="42">
        <f>B58/B7</f>
        <v>0.57750000000000001</v>
      </c>
      <c r="C59" s="37"/>
    </row>
    <row r="60" spans="1:3" x14ac:dyDescent="0.3">
      <c r="A60" s="37"/>
      <c r="B60" s="37"/>
      <c r="C60" s="37"/>
    </row>
    <row r="61" spans="1:3" ht="186.75" customHeight="1" x14ac:dyDescent="0.3">
      <c r="A61" s="39" t="s">
        <v>130</v>
      </c>
    </row>
    <row r="63" spans="1:3" x14ac:dyDescent="0.3">
      <c r="A63" s="31" t="s">
        <v>131</v>
      </c>
    </row>
    <row r="64" spans="1:3" x14ac:dyDescent="0.3">
      <c r="A64" s="32" t="s">
        <v>2</v>
      </c>
      <c r="B64" s="32" t="s">
        <v>60</v>
      </c>
      <c r="C64" s="32" t="s">
        <v>5</v>
      </c>
    </row>
    <row r="65" spans="1:3" x14ac:dyDescent="0.3">
      <c r="A65" s="37" t="s">
        <v>132</v>
      </c>
      <c r="B65" s="43">
        <f>'Recurring Overhead'!B32</f>
        <v>5.2990000000000004</v>
      </c>
      <c r="C65" s="2" t="s">
        <v>133</v>
      </c>
    </row>
    <row r="66" spans="1:3" x14ac:dyDescent="0.3">
      <c r="A66" s="37" t="s">
        <v>134</v>
      </c>
      <c r="B66" s="41">
        <f>B65*B7</f>
        <v>21.196000000000002</v>
      </c>
    </row>
    <row r="68" spans="1:3" x14ac:dyDescent="0.3">
      <c r="A68" s="3" t="s">
        <v>135</v>
      </c>
      <c r="B68" s="40">
        <f>B58+B66</f>
        <v>23.506</v>
      </c>
    </row>
    <row r="69" spans="1:3" x14ac:dyDescent="0.3">
      <c r="A69" s="37" t="s">
        <v>136</v>
      </c>
      <c r="B69" s="42">
        <f>B68/B7</f>
        <v>5.8765000000000001</v>
      </c>
    </row>
    <row r="71" spans="1:3" x14ac:dyDescent="0.3">
      <c r="A71" s="54" t="s">
        <v>137</v>
      </c>
      <c r="B71" s="54"/>
      <c r="C71" s="54"/>
    </row>
  </sheetData>
  <mergeCells count="2">
    <mergeCell ref="A56:C56"/>
    <mergeCell ref="A71:C7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tabSelected="1" topLeftCell="A12" zoomScaleNormal="100" workbookViewId="0">
      <selection activeCell="D22" sqref="D22"/>
    </sheetView>
  </sheetViews>
  <sheetFormatPr defaultColWidth="8.6640625" defaultRowHeight="14.4" x14ac:dyDescent="0.3"/>
  <cols>
    <col min="1" max="1" width="46" customWidth="1"/>
    <col min="2" max="2" width="18" customWidth="1"/>
    <col min="3" max="3" width="30" customWidth="1"/>
    <col min="4" max="4" width="55" customWidth="1"/>
  </cols>
  <sheetData>
    <row r="1" spans="1:4" ht="17.399999999999999" x14ac:dyDescent="0.3">
      <c r="A1" s="4" t="s">
        <v>138</v>
      </c>
    </row>
    <row r="2" spans="1:4" x14ac:dyDescent="0.3">
      <c r="A2" s="52" t="s">
        <v>139</v>
      </c>
      <c r="B2" s="52"/>
      <c r="C2" s="52"/>
      <c r="D2" s="52"/>
    </row>
    <row r="4" spans="1:4" x14ac:dyDescent="0.3">
      <c r="A4" s="12" t="s">
        <v>140</v>
      </c>
    </row>
    <row r="5" spans="1:4" x14ac:dyDescent="0.3">
      <c r="A5" s="16" t="s">
        <v>2</v>
      </c>
      <c r="B5" s="16" t="s">
        <v>141</v>
      </c>
      <c r="C5" s="16" t="s">
        <v>4</v>
      </c>
      <c r="D5" s="16" t="s">
        <v>5</v>
      </c>
    </row>
    <row r="6" spans="1:4" ht="16.8" x14ac:dyDescent="0.3">
      <c r="A6" s="55" t="s">
        <v>197</v>
      </c>
      <c r="B6" s="18">
        <v>8.9</v>
      </c>
      <c r="C6" s="17" t="s">
        <v>142</v>
      </c>
      <c r="D6" s="1" t="s">
        <v>143</v>
      </c>
    </row>
    <row r="7" spans="1:4" x14ac:dyDescent="0.3">
      <c r="A7" s="56" t="s">
        <v>198</v>
      </c>
      <c r="B7" s="18">
        <v>14.09</v>
      </c>
      <c r="C7" s="17" t="s">
        <v>142</v>
      </c>
      <c r="D7" s="1" t="s">
        <v>144</v>
      </c>
    </row>
    <row r="8" spans="1:4" x14ac:dyDescent="0.3">
      <c r="A8" s="17" t="s">
        <v>145</v>
      </c>
      <c r="B8" s="18">
        <v>30</v>
      </c>
      <c r="C8" s="17" t="s">
        <v>146</v>
      </c>
      <c r="D8" s="1" t="s">
        <v>147</v>
      </c>
    </row>
    <row r="9" spans="1:4" x14ac:dyDescent="0.3">
      <c r="A9" s="17" t="s">
        <v>148</v>
      </c>
      <c r="B9" s="18">
        <v>0</v>
      </c>
      <c r="C9" s="17" t="s">
        <v>146</v>
      </c>
      <c r="D9" s="1" t="s">
        <v>149</v>
      </c>
    </row>
    <row r="10" spans="1:4" x14ac:dyDescent="0.3">
      <c r="A10" s="19" t="s">
        <v>150</v>
      </c>
      <c r="B10" s="20">
        <f>SUM(B6:B9)</f>
        <v>52.99</v>
      </c>
    </row>
    <row r="12" spans="1:4" x14ac:dyDescent="0.3">
      <c r="A12" s="12" t="s">
        <v>151</v>
      </c>
    </row>
    <row r="13" spans="1:4" x14ac:dyDescent="0.3">
      <c r="A13" s="52" t="s">
        <v>152</v>
      </c>
      <c r="B13" s="52"/>
      <c r="C13" s="52"/>
      <c r="D13" s="52"/>
    </row>
    <row r="15" spans="1:4" x14ac:dyDescent="0.3">
      <c r="A15" s="16" t="s">
        <v>153</v>
      </c>
      <c r="B15" s="16" t="s">
        <v>154</v>
      </c>
      <c r="C15" s="16" t="s">
        <v>155</v>
      </c>
      <c r="D15" s="16" t="s">
        <v>156</v>
      </c>
    </row>
    <row r="16" spans="1:4" x14ac:dyDescent="0.3">
      <c r="A16" s="17" t="s">
        <v>157</v>
      </c>
      <c r="B16" s="44">
        <v>10</v>
      </c>
      <c r="C16" s="17" t="s">
        <v>158</v>
      </c>
      <c r="D16" s="1" t="s">
        <v>159</v>
      </c>
    </row>
    <row r="17" spans="1:4" x14ac:dyDescent="0.3">
      <c r="A17" s="17" t="s">
        <v>160</v>
      </c>
      <c r="B17" s="44">
        <v>40</v>
      </c>
      <c r="C17" s="17" t="s">
        <v>161</v>
      </c>
      <c r="D17" s="1" t="s">
        <v>162</v>
      </c>
    </row>
    <row r="18" spans="1:4" x14ac:dyDescent="0.3">
      <c r="A18" s="17" t="s">
        <v>163</v>
      </c>
      <c r="B18" s="45">
        <f>B20</f>
        <v>1</v>
      </c>
      <c r="C18" s="17" t="s">
        <v>164</v>
      </c>
      <c r="D18" s="1" t="s">
        <v>165</v>
      </c>
    </row>
    <row r="20" spans="1:4" x14ac:dyDescent="0.3">
      <c r="A20" s="17" t="s">
        <v>166</v>
      </c>
      <c r="B20" s="46">
        <v>1</v>
      </c>
      <c r="D20" s="1" t="s">
        <v>167</v>
      </c>
    </row>
    <row r="21" spans="1:4" x14ac:dyDescent="0.3">
      <c r="A21" s="17" t="s">
        <v>168</v>
      </c>
      <c r="B21" s="45">
        <f>IFERROR(B20*4.33/(45/60)*20,0)</f>
        <v>115.46666666666667</v>
      </c>
      <c r="D21" s="1" t="s">
        <v>169</v>
      </c>
    </row>
    <row r="23" spans="1:4" x14ac:dyDescent="0.3">
      <c r="A23" s="12" t="s">
        <v>170</v>
      </c>
    </row>
    <row r="24" spans="1:4" x14ac:dyDescent="0.3">
      <c r="A24" s="16" t="s">
        <v>153</v>
      </c>
      <c r="B24" s="16" t="s">
        <v>171</v>
      </c>
    </row>
    <row r="25" spans="1:4" x14ac:dyDescent="0.3">
      <c r="A25" s="17" t="s">
        <v>157</v>
      </c>
      <c r="B25" s="27">
        <f>IFERROR($B$10/B16,0)</f>
        <v>5.2990000000000004</v>
      </c>
    </row>
    <row r="26" spans="1:4" x14ac:dyDescent="0.3">
      <c r="A26" s="17" t="s">
        <v>160</v>
      </c>
      <c r="B26" s="27">
        <f>IFERROR($B$10/B17,0)</f>
        <v>1.3247500000000001</v>
      </c>
    </row>
    <row r="27" spans="1:4" x14ac:dyDescent="0.3">
      <c r="A27" s="17" t="s">
        <v>163</v>
      </c>
      <c r="B27" s="27">
        <f>IFERROR($B$10/B18,0)</f>
        <v>52.99</v>
      </c>
    </row>
    <row r="29" spans="1:4" x14ac:dyDescent="0.3">
      <c r="A29" s="12" t="s">
        <v>172</v>
      </c>
    </row>
    <row r="30" spans="1:4" x14ac:dyDescent="0.3">
      <c r="A30" s="17" t="s">
        <v>173</v>
      </c>
      <c r="B30" s="47" t="s">
        <v>157</v>
      </c>
      <c r="D30" s="1" t="s">
        <v>174</v>
      </c>
    </row>
    <row r="31" spans="1:4" x14ac:dyDescent="0.3">
      <c r="A31" s="17" t="s">
        <v>175</v>
      </c>
      <c r="B31" s="45">
        <f>INDEX(B16:B18,MATCH(B30,A16:A18,0))</f>
        <v>10</v>
      </c>
    </row>
    <row r="32" spans="1:4" x14ac:dyDescent="0.3">
      <c r="A32" s="19" t="s">
        <v>176</v>
      </c>
      <c r="B32" s="20">
        <f>IFERROR($B$10/B31,0)</f>
        <v>5.2990000000000004</v>
      </c>
    </row>
  </sheetData>
  <mergeCells count="2">
    <mergeCell ref="A2:D2"/>
    <mergeCell ref="A13:D13"/>
  </mergeCells>
  <dataValidations count="1">
    <dataValidation type="list" sqref="B30" xr:uid="{00000000-0002-0000-0200-000000000000}">
      <formula1>"Conservative,Base / Target,Optimistic / Capacity ceiling"</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Tier 1 Equipment Costs</vt:lpstr>
      <vt:lpstr>Bin Stickers 100x150 4pk</vt:lpstr>
      <vt:lpstr>Recurring Overhead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Liron Stroh</cp:lastModifiedBy>
  <cp:revision>0</cp:revision>
  <dcterms:created xsi:type="dcterms:W3CDTF">2026-07-22T19:17:07Z</dcterms:created>
  <dcterms:modified xsi:type="dcterms:W3CDTF">2026-08-01T12:44:35Z</dcterms:modified>
  <dc:language>en-US</dc:language>
</cp:coreProperties>
</file>