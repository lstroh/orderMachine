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9C17319A-4702-4D2D-956F-734622592004}" xr6:coauthVersionLast="47" xr6:coauthVersionMax="47" xr10:uidLastSave="{00000000-0000-0000-0000-000000000000}"/>
  <bookViews>
    <workbookView xWindow="-108" yWindow="-108" windowWidth="23256" windowHeight="12456" tabRatio="500" xr2:uid="{00000000-000D-0000-FFFF-FFFF00000000}"/>
  </bookViews>
  <sheets>
    <sheet name="Tier 1 Equipment Costs" sheetId="1" r:id="rId1"/>
    <sheet name="Bin Stickers 100x140 4pk" sheetId="2" r:id="rId2"/>
    <sheet name="Recurring Overhead" sheetId="3" r:id="rId3"/>
    <sheet name="cost per item" sheetId="4" r:id="rId4"/>
    <sheet name="Ebay costs" sheetId="5" r:id="rId5"/>
    <sheet name="Etsy" sheetId="6" r:id="rId6"/>
    <sheet name="Amazon"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5" l="1"/>
  <c r="D13" i="5"/>
  <c r="D12" i="5"/>
  <c r="D15" i="5" s="1"/>
  <c r="D16" i="5" s="1"/>
  <c r="C16" i="5"/>
  <c r="C15" i="5"/>
  <c r="C14" i="5"/>
  <c r="C13" i="5"/>
  <c r="C12" i="5"/>
  <c r="E58" i="2"/>
  <c r="D58" i="2"/>
  <c r="M5" i="4"/>
  <c r="M6" i="4"/>
  <c r="M7" i="4"/>
  <c r="M8" i="4"/>
  <c r="M9" i="4"/>
  <c r="M10" i="4"/>
  <c r="M11" i="4"/>
  <c r="M12" i="4"/>
  <c r="M4" i="4"/>
  <c r="B56" i="2"/>
  <c r="L11" i="4"/>
  <c r="L12" i="4"/>
  <c r="K12" i="4"/>
  <c r="K11" i="4"/>
  <c r="L6" i="4"/>
  <c r="L7" i="4"/>
  <c r="K7" i="4"/>
  <c r="K6" i="4"/>
  <c r="L4" i="4"/>
  <c r="L5" i="4"/>
  <c r="L8" i="4"/>
  <c r="L9" i="4"/>
  <c r="L10" i="4"/>
  <c r="L13" i="4"/>
  <c r="L3" i="4"/>
  <c r="K15" i="4"/>
  <c r="L15" i="4" s="1"/>
  <c r="K14" i="4"/>
  <c r="L14" i="4" s="1"/>
  <c r="K13" i="4"/>
  <c r="K10" i="4"/>
  <c r="K9" i="4"/>
  <c r="K8" i="4"/>
  <c r="K5" i="4"/>
  <c r="K4" i="4"/>
  <c r="K3" i="4"/>
  <c r="E4" i="4"/>
  <c r="E5" i="4"/>
  <c r="E6" i="4"/>
  <c r="E7" i="4"/>
  <c r="E8" i="4"/>
  <c r="E9" i="4"/>
  <c r="E10" i="4"/>
  <c r="E11" i="4"/>
  <c r="E12" i="4"/>
  <c r="E13" i="4"/>
  <c r="E14" i="4"/>
  <c r="E15" i="4"/>
  <c r="E16" i="4"/>
  <c r="E17" i="4"/>
  <c r="E18" i="4"/>
  <c r="E20" i="4"/>
  <c r="E21" i="4"/>
  <c r="E22" i="4"/>
  <c r="E3" i="4"/>
  <c r="E10" i="3"/>
  <c r="E12" i="3" s="1"/>
  <c r="E8" i="3"/>
  <c r="E7" i="3"/>
  <c r="E6" i="3"/>
  <c r="B54" i="2"/>
  <c r="B48" i="2"/>
  <c r="B36" i="2"/>
  <c r="B28" i="2"/>
  <c r="B17" i="2"/>
  <c r="B15" i="2"/>
  <c r="B18" i="2" s="1"/>
  <c r="B30" i="2" s="1"/>
  <c r="B58" i="2" s="1"/>
  <c r="B44" i="1"/>
  <c r="F42" i="1"/>
  <c r="F41" i="1"/>
  <c r="F40" i="1"/>
  <c r="F39" i="1"/>
  <c r="F38" i="1"/>
  <c r="F37" i="1"/>
  <c r="F36" i="1"/>
  <c r="F35" i="1"/>
  <c r="F34" i="1"/>
  <c r="F33" i="1"/>
  <c r="F32" i="1"/>
  <c r="F31" i="1"/>
  <c r="B22" i="1"/>
  <c r="B14" i="1"/>
  <c r="B33" i="3"/>
  <c r="B23" i="3"/>
  <c r="B20" i="3"/>
  <c r="B12" i="3"/>
  <c r="B31" i="2" l="1"/>
  <c r="B46" i="1"/>
  <c r="B56" i="1" s="1"/>
  <c r="B24" i="1"/>
  <c r="B29" i="3"/>
  <c r="B34" i="3"/>
  <c r="B65" i="2" s="1"/>
  <c r="B66" i="2" s="1"/>
  <c r="B28" i="3"/>
  <c r="B27" i="3"/>
  <c r="B37" i="2"/>
  <c r="B59" i="2" l="1"/>
  <c r="B68" i="2"/>
  <c r="B53" i="1" l="1"/>
  <c r="B54" i="1" s="1"/>
  <c r="B57" i="1" s="1"/>
  <c r="B58" i="1" s="1"/>
  <c r="B69" i="2"/>
</calcChain>
</file>

<file path=xl/sharedStrings.xml><?xml version="1.0" encoding="utf-8"?>
<sst xmlns="http://schemas.openxmlformats.org/spreadsheetml/2006/main" count="403" uniqueCount="307">
  <si>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</si>
  <si>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</si>
  <si>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</si>
  <si>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</si>
  <si>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</si>
  <si>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</si>
  <si>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</si>
  <si>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</si>
  <si>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</si>
  <si>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</si>
  <si>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</si>
  <si>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</si>
  <si>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</si>
  <si>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</si>
  <si>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</si>
  <si>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</si>
  <si>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</si>
  <si>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</si>
  <si>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</si>
  <si>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</si>
  <si>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</si>
  <si>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</si>
  <si>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</si>
  <si>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</si>
  <si>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</si>
  <si>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</si>
  <si>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</si>
  <si>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</si>
  <si>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</si>
  <si>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</si>
  <si>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</si>
  <si>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</si>
  <si>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</si>
  <si>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</si>
  <si>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</si>
  <si>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</si>
  <si>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</si>
  <si>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</si>
  <si>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</si>
  <si>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</si>
  <si>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</si>
  <si>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</si>
  <si>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</si>
  <si>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</si>
  <si>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</si>
  <si>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</si>
  <si>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</si>
  <si>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</si>
  <si>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</si>
  <si>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</si>
  <si>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</si>
  <si>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</si>
  <si>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</si>
  <si>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</si>
  <si>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</si>
  <si>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</si>
  <si>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</si>
  <si>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</si>
  <si>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</si>
  <si>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</si>
  <si>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</si>
  <si>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</si>
  <si>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</si>
  <si>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</si>
  <si>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</si>
  <si>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</si>
  <si>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</si>
  <si>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</si>
  <si>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</si>
  <si>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</si>
  <si>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</si>
  <si>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</si>
  <si>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</si>
  <si>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</si>
  <si>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</si>
  <si>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</si>
  <si>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</si>
  <si>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</si>
  <si>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</si>
  <si>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</si>
  <si>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</si>
  <si>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</si>
  <si>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</si>
  <si>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</si>
  <si>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</si>
  <si>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</si>
  <si>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</si>
  <si>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</si>
  <si>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</si>
  <si>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</si>
  <si>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</si>
  <si>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</si>
  <si>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</si>
  <si>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</si>
  <si>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</si>
  <si>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</si>
  <si>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</si>
  <si>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</si>
  <si>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</si>
  <si>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</si>
  <si>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</si>
  <si>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</si>
  <si>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</si>
  <si>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</si>
  <si>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</si>
  <si>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</si>
  <si>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</si>
  <si>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</si>
  <si>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</si>
  <si>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</si>
  <si>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</si>
  <si>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</si>
  <si>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</si>
  <si>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</si>
  <si>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</si>
  <si>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</si>
  <si>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</si>
  <si>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</si>
  <si>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</si>
  <si>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</si>
  <si>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</si>
  <si>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</si>
  <si>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</si>
  <si>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</si>
  <si>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</si>
  <si>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</si>
  <si>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</si>
  <si>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</si>
  <si>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</si>
  <si>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</si>
  <si>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</si>
  <si>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</si>
  <si>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</si>
  <si>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</si>
  <si>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</si>
  <si>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</si>
  <si>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</si>
  <si>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</si>
  <si>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</si>
  <si>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</si>
  <si>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</si>
  <si>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</si>
  <si>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</si>
  <si>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</si>
  <si>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</si>
  <si>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</si>
  <si>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</si>
  <si>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</si>
  <si>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</si>
  <si>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</si>
  <si>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</si>
  <si>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</si>
  <si>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</si>
  <si>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</si>
  <si>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</si>
  <si>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</si>
  <si>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</si>
  <si>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</si>
  <si>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</si>
  <si>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</si>
  <si>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</si>
  <si>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</si>
  <si>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</si>
  <si>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</si>
  <si>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</si>
  <si>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</si>
  <si>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</si>
  <si>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</si>
  <si>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</si>
  <si>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</si>
  <si>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</si>
  <si>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</si>
  <si>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</si>
  <si>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</si>
  <si>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</si>
  <si>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</si>
  <si>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</si>
  <si>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</si>
  <si>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</si>
  <si>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</si>
  <si>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</si>
  <si>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</si>
  <si>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</si>
  <si>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</si>
  <si>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</si>
  <si>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</si>
  <si>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</si>
  <si>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</si>
  <si>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</si>
  <si>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</si>
  <si>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</si>
  <si>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</si>
  <si>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</si>
  <si>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</si>
  <si>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</si>
  <si>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</si>
  <si>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</si>
  <si>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</si>
  <si>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</si>
  <si>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full year</t>
  </si>
  <si>
    <t>item</t>
  </si>
  <si>
    <t>cost</t>
  </si>
  <si>
    <t>shipping</t>
  </si>
  <si>
    <t>total per item</t>
  </si>
  <si>
    <t>Stickiply</t>
  </si>
  <si>
    <t>white vinyl</t>
  </si>
  <si>
    <t>clear vinyl</t>
  </si>
  <si>
    <t>lamination</t>
  </si>
  <si>
    <t>Cricut</t>
  </si>
  <si>
    <t>total</t>
  </si>
  <si>
    <t>per item</t>
  </si>
  <si>
    <t>diff</t>
  </si>
  <si>
    <t>EBAY MARKETING — PROMOTED LISTINGS &amp; FEE STACK (added Aug 2026)</t>
  </si>
  <si>
    <t>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</si>
  <si>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Assumed sale price per unit (£)</t>
  </si>
  <si>
    <t>Placeholder mid-point of user-specified £2-4 range — see flag above. Edit once price is locked.</t>
  </si>
  <si>
    <t>Promoted Listings ad rate (% of sale price)</t>
  </si>
  <si>
    <t>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</si>
  <si>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eBay Final Value Fee (business seller, standard category)</t>
  </si>
  <si>
    <t>12.8% of item price + postage, most categories, checked Aug 2026. Matches the ~13% already assumed in Business Plan Section 6, just broken out precisely here.</t>
  </si>
  <si>
    <t>eBay per-order fee (£, flat)</t>
  </si>
  <si>
    <t>30p per order under £10; rises to 40p for orders ≥£10 (changed Feb 2026 — NOT yet reflected in Business Plan Section 6 or the 4pk cost sheet, worth adding there too). At a £2-4 unit price this stays at 30p unless bundling pushes a single order over £10.</t>
  </si>
  <si>
    <t>eBay Regulatory Operating Fee (% of item price + postage)</t>
  </si>
  <si>
    <t>~0.35-0.43% UK regulatory fee, introduced April 2024, applies to all UK business sellers regardless of ad usage — also not currently broken out elsewhere in the workbook. 0.4% used as a midpoint.</t>
  </si>
  <si>
    <t>→ COST PER UNIT SOLD</t>
  </si>
  <si>
    <t>Ad spend per unit (£)</t>
  </si>
  <si>
    <t>Final Value Fee per unit (£)</t>
  </si>
  <si>
    <t>Regulatory fee per unit (£)</t>
  </si>
  <si>
    <t>TOTAL EBAY PLATFORM COST PER UNIT (FVF + per-order + regulatory + ad) (£)</t>
  </si>
  <si>
    <t>Net proceeds per unit after all eBay fees (£)</t>
  </si>
  <si>
    <t>Total eBay fees as % of sale price</t>
  </si>
  <si>
    <t>→ MONTHLY, AT ACTIVE SCENARIO VOLUME (from ACTIVE SCENARIO block above)</t>
  </si>
  <si>
    <t>Active monthly volume (stickers)</t>
  </si>
  <si>
    <t>Monthly ad spend at active volume (£)</t>
  </si>
  <si>
    <t>Monthly TOTAL eBay platform fees at active volume (£)</t>
  </si>
  <si>
    <t>Not yet wired into the per-sticker OVERHEAD figures above (B26-B33) or into the 'Bin Stickers 100x140 4pk' sheet, on purpose — it's a %-of-price cost, and that sheet models a different price point (£6/4pk) than the £2-4 range given here. Once the 'simple stickers' price/product is confirmed, this block's TOTAL EBAY PLATFORM COST PER UNIT row can be added directly into that sheet's fee/margin table, or this section's monthly ad spend can be added into B11's SUM range above if you'd rather treat it as pooled overhead — flag either way so the two stay consistent.</t>
  </si>
  <si>
    <t>Etsy — Fees &amp; Advertising (UK shop, not VAT-registered)</t>
  </si>
  <si>
    <t>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</si>
  <si>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INPUTS</t>
  </si>
  <si>
    <t>Assumed sale price per unit, total incl. shipping (£)</t>
  </si>
  <si>
    <t>Placeholder — see flag above. Edit once price is locked.</t>
  </si>
  <si>
    <t>Listing fee per listing (£)</t>
  </si>
  <si>
    <t>~$0.20 USD converted. Charged whether or not it sells; renews every 4 months and again per sale on multi-quantity listings — this model assumes 1 listing fee per unit sold, the conservative case.</t>
  </si>
  <si>
    <t>Transaction fee rate</t>
  </si>
  <si>
    <t>6.5% of item price + shipping + gift wrap.</t>
  </si>
  <si>
    <t>Payment processing rate</t>
  </si>
  <si>
    <t>4% + fixed fee below. Etsy Payments is mandatory, no alternative processor option.</t>
  </si>
  <si>
    <t>Payment processing fixed fee (£)</t>
  </si>
  <si>
    <t>Regulatory Operating Fee rate</t>
  </si>
  <si>
    <t>0.32% of item price + shipping, UK-specific since 2022.</t>
  </si>
  <si>
    <t>VAT on Etsy fees (applies — not VAT-registered)</t>
  </si>
  <si>
    <t>20% VAT charged on ALL of Etsy's fees above when the seller isn't VAT-registered (per current business plan strategy). Set to 0% here if VAT registration status changes.</t>
  </si>
  <si>
    <t>Offsite Ads currently active? (Y/N)</t>
  </si>
  <si>
    <t>N</t>
  </si>
  <si>
    <t>Optional and should be switched OFF in Shop Manager while trailing 12-month revenue is under $10,000 USD (~£8,000) — see guide. Becomes mandatory (can't be set to N) once that threshold is crossed.</t>
  </si>
  <si>
    <t>Offsite Ads fee rate (if active)</t>
  </si>
  <si>
    <t>15% below $10k trailing revenue, 12% once mandatory at/above it.</t>
  </si>
  <si>
    <t>Etsy Ads (onsite) daily budget (£) — optional, separate CPC spend</t>
  </si>
  <si>
    <t>Minimum ~£1/day. This is a controllable CPC budget, NOT a %-of-sale fee — kept separate from the cost-per-unit maths below since it doesn't scale with units sold. Shown as a monthly figure further down.</t>
  </si>
  <si>
    <t>→ COST PER UNIT SOLD (Listing + Transaction + Payment processing + Regulatory + VAT-on-fees)</t>
  </si>
  <si>
    <t>Transaction fee (£)</t>
  </si>
  <si>
    <t>Payment processing fee (£)</t>
  </si>
  <si>
    <t>Regulatory fee (£)</t>
  </si>
  <si>
    <t>Subtotal before VAT (£)</t>
  </si>
  <si>
    <t>VAT on fees (£)</t>
  </si>
  <si>
    <t>Offsite Ads fee incl. its own VAT (£), if active</t>
  </si>
  <si>
    <t>TOTAL ETSY FEES PER UNIT (£)</t>
  </si>
  <si>
    <t>Net proceeds per unit after all Etsy fees (£)</t>
  </si>
  <si>
    <t>Total Etsy fees as % of sale price</t>
  </si>
  <si>
    <t>→ MONTHLY, AT ACTIVE SCENARIO VOLUME (from 'Recurring Overhead' sheet)</t>
  </si>
  <si>
    <t>Monthly total Etsy fees at active volume (£)</t>
  </si>
  <si>
    <t>Monthly Etsy Ads (onsite) budget, if used (£)</t>
  </si>
  <si>
    <t>Independent of units sold — a controllable CPC budget, not charged per unit.</t>
  </si>
  <si>
    <t>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</si>
  <si>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Amazon — Fees &amp; Advertising (UK, FBM assumed)</t>
  </si>
  <si>
    <t>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</si>
  <si>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Placeholder — see flag above.</t>
  </si>
  <si>
    <t>Referral fee rate</t>
  </si>
  <si>
    <t>8-15% typical range by category; 15% (top of range) used as the conservative default. Confirm actual category rate before launch — check Amazon Handmade (12.24% flat) eligibility too.</t>
  </si>
  <si>
    <t>Minimum referral fee (£)</t>
  </si>
  <si>
    <t>Applies regardless of price — matters at £2-4 unit prices since the percentage-based fee may fall below this floor.</t>
  </si>
  <si>
    <t>Digital Services Tax pass-through rate</t>
  </si>
  <si>
    <t>Applied on top of the referral fee for UK-established sellers.</t>
  </si>
  <si>
    <t>Using Professional account? (Y/N)</t>
  </si>
  <si>
    <t>Required for Sponsored Products (PPC) access, Buy Box eligibility, and new listing creation. Guide recommends holding off until volume/margin justify the flat monthly cost. Set to 'Y' once committed.</t>
  </si>
  <si>
    <t>Professional account monthly fee (£)</t>
  </si>
  <si>
    <t>Individual account per-item fee (£, if not Professional)</t>
  </si>
  <si>
    <t>Sponsored Products target ACoS (launch phase)</t>
  </si>
  <si>
    <t>30-40%+ is normal/accepted during a launch phase per general guidance; established-product benchmarks run 15-25%. Only relevant if Professional account + Sponsored Products are actually turned on.</t>
  </si>
  <si>
    <t>→ COST PER UNIT SOLD (selling fees only, before advertising)</t>
  </si>
  <si>
    <t>Referral fee, greater of rate or minimum (£)</t>
  </si>
  <si>
    <t>Referral fee incl. DST pass-through (£)</t>
  </si>
  <si>
    <t>Account fee per unit — Individual only (£)</t>
  </si>
  <si>
    <t>Professional's £25/mo is a flat monthly cost, not per-unit — shown separately below.</t>
  </si>
  <si>
    <t>TOTAL SELLING FEES PER UNIT (£)</t>
  </si>
  <si>
    <t>Net proceeds per unit after selling fees, before advertising (£)</t>
  </si>
  <si>
    <t>Total selling fees as % of sale price</t>
  </si>
  <si>
    <t>→ MONTHLY, AT ACTIVE SCENARIO VOLUME</t>
  </si>
  <si>
    <t>Monthly total selling fees at active volume (£)</t>
  </si>
  <si>
    <t>Monthly Professional account fee, if used (£)</t>
  </si>
  <si>
    <t>Estimated monthly Sponsored Products spend, if Professional + advertising used (£)</t>
  </si>
  <si>
    <t>Approximation: ACoS × assumed monthly revenue, treating all volume as ad-attributed — a simplification, real ad-attributed revenue will be a subset of total sales. CPC spend is NOT cost-per-sale, so this is charged whether or not those specific clicks convert.</t>
  </si>
  <si>
    <t>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</si>
  <si>
    <t>stikly clear</t>
  </si>
  <si>
    <t>gmail account</t>
  </si>
  <si>
    <t>domain</t>
  </si>
  <si>
    <t>210 x 297mm Rectangle, Avery Blank Labels | Avery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</si>
</sst>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
    <numFmt numFmtId="166" formatCode="0.0%"/>
    <numFmt numFmtId="167" formatCode="#,##0.00000000000000"/>
    <numFmt numFmtId="168" formatCode="#,##0.000"/>
  </numFmts>
  <fonts count="34"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
      <b/>
      <sz val="11"/>
      <color rgb="FF1F3864"/>
      <name val="Cambria"/>
      <charset val="1"/>
    </font>
    <font>
      <i/>
      <sz val="10"/>
      <color rgb="FF666666"/>
      <name val="Cambria"/>
      <charset val="1"/>
    </font>
    <font>
      <b/>
      <sz val="11"/>
      <color rgb="FFFFFFFF"/>
      <name val="Cambria"/>
      <charset val="1"/>
    </font>
    <font>
      <sz val="11"/>
      <color rgb="FF000000"/>
      <name val="Cambria"/>
      <charset val="1"/>
    </font>
    <font>
      <sz val="11"/>
      <color rgb="FF0000FF"/>
      <name val="Cambria"/>
      <charset val="1"/>
    </font>
    <font>
      <b/>
      <sz val="14"/>
      <color rgb="FF1F3864"/>
      <name val="Cambria"/>
      <charset val="1"/>
    </font>
  </fonts>
  <fills count="7">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
      <patternFill patternType="solid">
        <fgColor rgb="FFFFFF00"/>
        <bgColor indexed="64"/>
      </patternFill>
    </fill>
    <fill>
      <patternFill patternType="solid">
        <fgColor rgb="FF1F3864"/>
        <bgColor rgb="FF1F1F1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71">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0" fillId="5" borderId="0" xfId="0" applyFill="1"/>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xf numFmtId="167" fontId="0" fillId="0" borderId="0" xfId="0" applyNumberFormat="1"/>
    <xf numFmtId="168" fontId="0" fillId="0" borderId="0" xfId="0" applyNumberFormat="1"/>
    <xf numFmtId="0" fontId="2" fillId="0" borderId="0" xfId="0" applyFont="1"/>
    <xf numFmtId="0" fontId="0" fillId="0" borderId="0" xfId="0"/>
    <xf numFmtId="0" fontId="2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avery.co.uk/blank-labels/rectangle-210x297mm?mat=wop" TargetMode="External"/><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0"/>
  <sheetViews>
    <sheetView tabSelected="1" zoomScaleNormal="100" workbookViewId="0">
      <pane ySplit="4" topLeftCell="A32" activePane="bottomLeft" state="frozen"/>
      <selection pane="bottomLeft" activeCell="A43" sqref="A43"/>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49" t="s">
        <v>85</v>
      </c>
      <c r="B31" s="18">
        <v>13</v>
      </c>
      <c r="C31" s="17"/>
      <c r="D31" s="1"/>
      <c r="E31">
        <v>25</v>
      </c>
      <c r="F31">
        <f t="shared" ref="F31:F40" si="0">B31/E31</f>
        <v>0.52</v>
      </c>
      <c r="G31" t="s">
        <v>86</v>
      </c>
    </row>
    <row r="32" spans="1:7" ht="15" customHeight="1" x14ac:dyDescent="0.35">
      <c r="A32" s="49"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51" t="s">
        <v>306</v>
      </c>
      <c r="B43" s="18"/>
      <c r="C43" s="17"/>
      <c r="D43" s="1"/>
    </row>
    <row r="44" spans="1:9" x14ac:dyDescent="0.3">
      <c r="A44" s="19" t="s">
        <v>104</v>
      </c>
      <c r="B44" s="20">
        <f>SUM(B31:B42)</f>
        <v>102.31</v>
      </c>
    </row>
    <row r="46" spans="1:9" ht="15.6" customHeight="1" x14ac:dyDescent="0.3">
      <c r="A46" s="21" t="s">
        <v>105</v>
      </c>
      <c r="B46" s="22">
        <f>B14+B44</f>
        <v>631.30999999999995</v>
      </c>
    </row>
    <row r="47" spans="1:9" x14ac:dyDescent="0.3">
      <c r="A47" s="68" t="s">
        <v>106</v>
      </c>
      <c r="B47" s="69"/>
      <c r="C47" s="69"/>
      <c r="D47" s="69"/>
    </row>
    <row r="49" spans="1:4" ht="15.6" customHeight="1" x14ac:dyDescent="0.3">
      <c r="A49" s="23" t="s">
        <v>107</v>
      </c>
    </row>
    <row r="50" spans="1:4" x14ac:dyDescent="0.3">
      <c r="A50" s="68" t="s">
        <v>108</v>
      </c>
      <c r="B50" s="69"/>
      <c r="C50" s="69"/>
      <c r="D50" s="69"/>
    </row>
    <row r="52" spans="1:4" x14ac:dyDescent="0.3">
      <c r="A52" s="17" t="s">
        <v>109</v>
      </c>
      <c r="B52" s="18">
        <v>6</v>
      </c>
      <c r="D52" s="1" t="s">
        <v>110</v>
      </c>
    </row>
    <row r="53" spans="1:4" x14ac:dyDescent="0.3">
      <c r="A53" s="17" t="s">
        <v>111</v>
      </c>
      <c r="B53" s="24">
        <f>'Bin Stickers 100x140 4pk'!B68</f>
        <v>29.027866666666664</v>
      </c>
      <c r="D53" s="1" t="s">
        <v>112</v>
      </c>
    </row>
    <row r="54" spans="1:4" x14ac:dyDescent="0.3">
      <c r="A54" s="25" t="s">
        <v>113</v>
      </c>
      <c r="B54" s="26">
        <f>B52-B53</f>
        <v>-23.027866666666664</v>
      </c>
    </row>
    <row r="56" spans="1:4" x14ac:dyDescent="0.3">
      <c r="A56" s="17" t="s">
        <v>114</v>
      </c>
      <c r="B56" s="27">
        <f>B46</f>
        <v>631.30999999999995</v>
      </c>
    </row>
    <row r="57" spans="1:4" x14ac:dyDescent="0.3">
      <c r="A57" s="19" t="s">
        <v>115</v>
      </c>
      <c r="B57" s="28">
        <f>IFERROR(B56/B54,"N/A")</f>
        <v>-27.415044960019454</v>
      </c>
    </row>
    <row r="58" spans="1:4" x14ac:dyDescent="0.3">
      <c r="A58" s="19" t="s">
        <v>116</v>
      </c>
      <c r="B58" s="28">
        <f>IFERROR(B57*'Bin Stickers 100x140 4pk'!B7,"N/A")</f>
        <v>-109.66017984007782</v>
      </c>
    </row>
    <row r="60" spans="1:4" x14ac:dyDescent="0.3">
      <c r="A60" s="68" t="s">
        <v>117</v>
      </c>
      <c r="B60" s="69"/>
      <c r="C60" s="69"/>
      <c r="D60" s="69"/>
    </row>
  </sheetData>
  <mergeCells count="3">
    <mergeCell ref="A60:D60"/>
    <mergeCell ref="A47:D47"/>
    <mergeCell ref="A50:D50"/>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 ref="A43" r:id="rId8" display="https://www.avery.co.uk/blank-labels/rectangle-210x297mm?mat=wop" xr:uid="{E3D54250-8282-46DF-B69A-4347BD41481B}"/>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1"/>
  <sheetViews>
    <sheetView topLeftCell="A50" zoomScaleNormal="100" workbookViewId="0">
      <selection activeCell="E59" sqref="E59"/>
    </sheetView>
  </sheetViews>
  <sheetFormatPr defaultColWidth="8.6640625" defaultRowHeight="14.4" x14ac:dyDescent="0.3"/>
  <cols>
    <col min="1" max="1" width="46" customWidth="1"/>
    <col min="2" max="2" width="16" customWidth="1"/>
    <col min="3" max="3" width="55" customWidth="1"/>
    <col min="4" max="5" width="16.6640625" bestFit="1"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0.43</v>
      </c>
      <c r="C12" s="30" t="s">
        <v>132</v>
      </c>
    </row>
    <row r="13" spans="1:3" ht="14.25" customHeight="1" x14ac:dyDescent="0.3">
      <c r="A13" t="s">
        <v>133</v>
      </c>
      <c r="B13" s="34">
        <v>0.44</v>
      </c>
      <c r="C13" s="30" t="s">
        <v>134</v>
      </c>
    </row>
    <row r="14" spans="1:3" ht="14.25" customHeight="1" x14ac:dyDescent="0.3">
      <c r="A14" t="s">
        <v>135</v>
      </c>
      <c r="B14" s="34">
        <v>0.05</v>
      </c>
      <c r="C14" s="30" t="s">
        <v>136</v>
      </c>
    </row>
    <row r="15" spans="1:3" ht="14.25" customHeight="1" x14ac:dyDescent="0.3">
      <c r="A15" t="s">
        <v>137</v>
      </c>
      <c r="B15" s="35">
        <f>SUM(B12:B14)</f>
        <v>0.92</v>
      </c>
    </row>
    <row r="17" spans="1:3" ht="14.25" customHeight="1" x14ac:dyDescent="0.3">
      <c r="A17" t="s">
        <v>138</v>
      </c>
      <c r="B17" s="36">
        <f>B8</f>
        <v>1</v>
      </c>
    </row>
    <row r="18" spans="1:3" ht="14.25" customHeight="1" x14ac:dyDescent="0.3">
      <c r="A18" t="s">
        <v>139</v>
      </c>
      <c r="B18" s="35">
        <f>B15*B17</f>
        <v>0.92</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1</v>
      </c>
      <c r="C30" s="37"/>
    </row>
    <row r="31" spans="1:3" x14ac:dyDescent="0.3">
      <c r="A31" s="37" t="s">
        <v>155</v>
      </c>
      <c r="B31" s="42">
        <f>B30/B7</f>
        <v>0.25</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0.01</v>
      </c>
      <c r="C35" t="s">
        <v>160</v>
      </c>
    </row>
    <row r="36" spans="1:3" ht="27.75" customHeight="1" x14ac:dyDescent="0.3">
      <c r="A36" t="s">
        <v>161</v>
      </c>
      <c r="B36">
        <f>SUM(B34:B35)</f>
        <v>0.03</v>
      </c>
    </row>
    <row r="37" spans="1:3" ht="27.75" customHeight="1" x14ac:dyDescent="0.3">
      <c r="A37" s="3" t="s">
        <v>162</v>
      </c>
      <c r="B37" s="40">
        <f>B36+B30</f>
        <v>1.03</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5" x14ac:dyDescent="0.3">
      <c r="A49" s="37"/>
      <c r="B49" s="41"/>
      <c r="C49" s="37"/>
    </row>
    <row r="50" spans="1:5" ht="14.25" customHeight="1" x14ac:dyDescent="0.3">
      <c r="A50" s="31" t="s">
        <v>181</v>
      </c>
      <c r="B50" s="37"/>
      <c r="C50" s="37"/>
    </row>
    <row r="51" spans="1:5" ht="14.25" customHeight="1" x14ac:dyDescent="0.3">
      <c r="A51" s="32" t="s">
        <v>3</v>
      </c>
      <c r="B51" s="38" t="s">
        <v>121</v>
      </c>
      <c r="C51" s="32" t="s">
        <v>6</v>
      </c>
    </row>
    <row r="52" spans="1:5" ht="57" customHeight="1" x14ac:dyDescent="0.3">
      <c r="A52" s="37" t="s">
        <v>182</v>
      </c>
      <c r="B52" s="34">
        <v>15.89</v>
      </c>
      <c r="C52" s="39" t="s">
        <v>183</v>
      </c>
    </row>
    <row r="53" spans="1:5" ht="54.75" customHeight="1" x14ac:dyDescent="0.3">
      <c r="A53" s="37" t="s">
        <v>184</v>
      </c>
      <c r="B53" s="34">
        <v>25</v>
      </c>
      <c r="C53" s="37"/>
    </row>
    <row r="54" spans="1:5" x14ac:dyDescent="0.3">
      <c r="A54" s="3" t="s">
        <v>185</v>
      </c>
      <c r="B54" s="40">
        <f>B52/B53</f>
        <v>0.63560000000000005</v>
      </c>
      <c r="C54" s="37"/>
    </row>
    <row r="55" spans="1:5" ht="114.75" customHeight="1" x14ac:dyDescent="0.3">
      <c r="A55" s="37" t="s">
        <v>186</v>
      </c>
      <c r="B55" s="34">
        <v>3</v>
      </c>
      <c r="C55" s="39" t="s">
        <v>187</v>
      </c>
    </row>
    <row r="56" spans="1:5" ht="60" customHeight="1" x14ac:dyDescent="0.3">
      <c r="A56" s="3" t="s">
        <v>188</v>
      </c>
      <c r="B56">
        <f>B54/3</f>
        <v>0.21186666666666668</v>
      </c>
      <c r="D56" t="s">
        <v>208</v>
      </c>
      <c r="E56" t="s">
        <v>303</v>
      </c>
    </row>
    <row r="57" spans="1:5" x14ac:dyDescent="0.3">
      <c r="A57" s="37"/>
      <c r="B57" s="37"/>
      <c r="C57" s="37"/>
    </row>
    <row r="58" spans="1:5" x14ac:dyDescent="0.3">
      <c r="A58" s="3" t="s">
        <v>189</v>
      </c>
      <c r="B58" s="40">
        <f>B30+B48+B56+B36</f>
        <v>2.1518666666666668</v>
      </c>
      <c r="C58" s="37"/>
      <c r="D58" s="66">
        <f>B58-B12-B13+0.65</f>
        <v>1.9318666666666671</v>
      </c>
      <c r="E58" s="66">
        <f>B58-B12+0.48</f>
        <v>2.2018666666666666</v>
      </c>
    </row>
    <row r="59" spans="1:5" x14ac:dyDescent="0.3">
      <c r="A59" s="37" t="s">
        <v>190</v>
      </c>
      <c r="B59" s="42">
        <f>B58/B7</f>
        <v>0.5379666666666667</v>
      </c>
      <c r="C59" s="37"/>
    </row>
    <row r="60" spans="1:5" x14ac:dyDescent="0.3">
      <c r="A60" s="37"/>
      <c r="B60" s="37"/>
      <c r="C60" s="37"/>
    </row>
    <row r="61" spans="1:5" ht="186.75" customHeight="1" x14ac:dyDescent="0.3">
      <c r="A61" s="39" t="s">
        <v>191</v>
      </c>
    </row>
    <row r="63" spans="1:5" x14ac:dyDescent="0.3">
      <c r="A63" s="31" t="s">
        <v>192</v>
      </c>
    </row>
    <row r="64" spans="1:5" x14ac:dyDescent="0.3">
      <c r="A64" s="32" t="s">
        <v>3</v>
      </c>
      <c r="B64" s="32" t="s">
        <v>121</v>
      </c>
      <c r="C64" s="32" t="s">
        <v>6</v>
      </c>
    </row>
    <row r="65" spans="1:3" x14ac:dyDescent="0.3">
      <c r="A65" s="37" t="s">
        <v>193</v>
      </c>
      <c r="B65" s="43">
        <f>'Recurring Overhead'!B34</f>
        <v>6.7189999999999994</v>
      </c>
      <c r="C65" s="2" t="s">
        <v>194</v>
      </c>
    </row>
    <row r="66" spans="1:3" x14ac:dyDescent="0.3">
      <c r="A66" s="37" t="s">
        <v>195</v>
      </c>
      <c r="B66" s="41">
        <f>B65*B7</f>
        <v>26.875999999999998</v>
      </c>
    </row>
    <row r="68" spans="1:3" x14ac:dyDescent="0.3">
      <c r="A68" s="3" t="s">
        <v>196</v>
      </c>
      <c r="B68" s="40">
        <f>B58+B66</f>
        <v>29.027866666666664</v>
      </c>
    </row>
    <row r="69" spans="1:3" x14ac:dyDescent="0.3">
      <c r="A69" s="37" t="s">
        <v>197</v>
      </c>
      <c r="B69" s="42">
        <f>B68/B7</f>
        <v>7.2569666666666661</v>
      </c>
    </row>
    <row r="71" spans="1:3" x14ac:dyDescent="0.3">
      <c r="A71" s="70" t="s">
        <v>198</v>
      </c>
      <c r="B71" s="69"/>
      <c r="C71" s="69"/>
    </row>
  </sheetData>
  <mergeCells count="1">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4"/>
  <sheetViews>
    <sheetView zoomScaleNormal="100" workbookViewId="0">
      <selection activeCell="G9" sqref="G9"/>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68" t="s">
        <v>1</v>
      </c>
      <c r="B2" s="69"/>
      <c r="C2" s="69"/>
      <c r="D2" s="69"/>
    </row>
    <row r="4" spans="1:5" x14ac:dyDescent="0.3">
      <c r="A4" s="12" t="s">
        <v>2</v>
      </c>
    </row>
    <row r="5" spans="1:5" x14ac:dyDescent="0.3">
      <c r="A5" s="16" t="s">
        <v>3</v>
      </c>
      <c r="B5" s="16" t="s">
        <v>4</v>
      </c>
      <c r="C5" s="16" t="s">
        <v>5</v>
      </c>
      <c r="D5" s="16" t="s">
        <v>6</v>
      </c>
      <c r="E5" s="16" t="s">
        <v>199</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305</v>
      </c>
      <c r="B9" s="18"/>
      <c r="C9" s="17"/>
      <c r="D9" s="1"/>
      <c r="E9">
        <v>30</v>
      </c>
    </row>
    <row r="10" spans="1:5" x14ac:dyDescent="0.3">
      <c r="A10" s="17" t="s">
        <v>304</v>
      </c>
      <c r="B10" s="18">
        <v>11.8</v>
      </c>
      <c r="C10" s="17"/>
      <c r="D10" s="1"/>
      <c r="E10">
        <f>B10*12</f>
        <v>141.60000000000002</v>
      </c>
    </row>
    <row r="11" spans="1:5" x14ac:dyDescent="0.3">
      <c r="A11" s="17" t="s">
        <v>15</v>
      </c>
      <c r="B11" s="18">
        <v>0</v>
      </c>
      <c r="C11" s="17" t="s">
        <v>13</v>
      </c>
      <c r="D11" s="1" t="s">
        <v>16</v>
      </c>
    </row>
    <row r="12" spans="1:5" x14ac:dyDescent="0.3">
      <c r="A12" s="19" t="s">
        <v>17</v>
      </c>
      <c r="B12" s="20">
        <f>SUM(B6:B11)</f>
        <v>67.19</v>
      </c>
      <c r="E12">
        <f>SUM(E6:E11)</f>
        <v>698.34</v>
      </c>
    </row>
    <row r="14" spans="1:5" x14ac:dyDescent="0.3">
      <c r="A14" s="12" t="s">
        <v>18</v>
      </c>
    </row>
    <row r="15" spans="1:5" x14ac:dyDescent="0.3">
      <c r="A15" s="68" t="s">
        <v>19</v>
      </c>
      <c r="B15" s="69"/>
      <c r="C15" s="69"/>
      <c r="D15" s="69"/>
    </row>
    <row r="17" spans="1:4" x14ac:dyDescent="0.3">
      <c r="A17" s="16" t="s">
        <v>20</v>
      </c>
      <c r="B17" s="16" t="s">
        <v>21</v>
      </c>
      <c r="C17" s="16" t="s">
        <v>22</v>
      </c>
      <c r="D17" s="16" t="s">
        <v>23</v>
      </c>
    </row>
    <row r="18" spans="1:4" x14ac:dyDescent="0.3">
      <c r="A18" s="17" t="s">
        <v>24</v>
      </c>
      <c r="B18" s="44">
        <v>10</v>
      </c>
      <c r="C18" s="17" t="s">
        <v>25</v>
      </c>
      <c r="D18" s="1" t="s">
        <v>26</v>
      </c>
    </row>
    <row r="19" spans="1:4" x14ac:dyDescent="0.3">
      <c r="A19" s="17" t="s">
        <v>27</v>
      </c>
      <c r="B19" s="44">
        <v>40</v>
      </c>
      <c r="C19" s="17" t="s">
        <v>28</v>
      </c>
      <c r="D19" s="1" t="s">
        <v>29</v>
      </c>
    </row>
    <row r="20" spans="1:4" x14ac:dyDescent="0.3">
      <c r="A20" s="17" t="s">
        <v>30</v>
      </c>
      <c r="B20" s="45">
        <f>B22</f>
        <v>1</v>
      </c>
      <c r="C20" s="17" t="s">
        <v>31</v>
      </c>
      <c r="D20" s="1" t="s">
        <v>32</v>
      </c>
    </row>
    <row r="22" spans="1:4" x14ac:dyDescent="0.3">
      <c r="A22" s="17" t="s">
        <v>33</v>
      </c>
      <c r="B22" s="46">
        <v>1</v>
      </c>
      <c r="D22" s="1" t="s">
        <v>34</v>
      </c>
    </row>
    <row r="23" spans="1:4" x14ac:dyDescent="0.3">
      <c r="A23" s="17" t="s">
        <v>35</v>
      </c>
      <c r="B23" s="45">
        <f>IFERROR(B22*4.33/(45/60)*20,0)</f>
        <v>115.46666666666667</v>
      </c>
      <c r="D23" s="1" t="s">
        <v>36</v>
      </c>
    </row>
    <row r="25" spans="1:4" x14ac:dyDescent="0.3">
      <c r="A25" s="12" t="s">
        <v>37</v>
      </c>
    </row>
    <row r="26" spans="1:4" x14ac:dyDescent="0.3">
      <c r="A26" s="16" t="s">
        <v>20</v>
      </c>
      <c r="B26" s="16" t="s">
        <v>38</v>
      </c>
    </row>
    <row r="27" spans="1:4" x14ac:dyDescent="0.3">
      <c r="A27" s="17" t="s">
        <v>24</v>
      </c>
      <c r="B27" s="27">
        <f>IFERROR($B$12/B18,0)</f>
        <v>6.7189999999999994</v>
      </c>
    </row>
    <row r="28" spans="1:4" x14ac:dyDescent="0.3">
      <c r="A28" s="17" t="s">
        <v>27</v>
      </c>
      <c r="B28" s="27">
        <f>IFERROR($B$12/B19,0)</f>
        <v>1.6797499999999999</v>
      </c>
    </row>
    <row r="29" spans="1:4" x14ac:dyDescent="0.3">
      <c r="A29" s="17" t="s">
        <v>30</v>
      </c>
      <c r="B29" s="27">
        <f>IFERROR($B$12/B20,0)</f>
        <v>67.19</v>
      </c>
    </row>
    <row r="31" spans="1:4" x14ac:dyDescent="0.3">
      <c r="A31" s="12" t="s">
        <v>39</v>
      </c>
    </row>
    <row r="32" spans="1:4" x14ac:dyDescent="0.3">
      <c r="A32" s="17" t="s">
        <v>40</v>
      </c>
      <c r="B32" s="47" t="s">
        <v>24</v>
      </c>
      <c r="D32" s="1" t="s">
        <v>41</v>
      </c>
    </row>
    <row r="33" spans="1:2" x14ac:dyDescent="0.3">
      <c r="A33" s="17" t="s">
        <v>42</v>
      </c>
      <c r="B33" s="45">
        <f>INDEX(B18:B20,MATCH(B32,A18:A20,0))</f>
        <v>10</v>
      </c>
    </row>
    <row r="34" spans="1:2" x14ac:dyDescent="0.3">
      <c r="A34" s="19" t="s">
        <v>43</v>
      </c>
      <c r="B34" s="20">
        <f>IFERROR($B$12/B33,0)</f>
        <v>6.7189999999999994</v>
      </c>
    </row>
  </sheetData>
  <mergeCells count="2">
    <mergeCell ref="A15:D15"/>
    <mergeCell ref="A2:D2"/>
  </mergeCells>
  <dataValidations count="1">
    <dataValidation type="list" sqref="B32"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B3B2-BEC6-4259-8327-12EE41C40AEF}">
  <dimension ref="A1:M22"/>
  <sheetViews>
    <sheetView workbookViewId="0">
      <selection activeCell="B12" sqref="B12:E12"/>
    </sheetView>
  </sheetViews>
  <sheetFormatPr defaultRowHeight="14.4" x14ac:dyDescent="0.3"/>
  <cols>
    <col min="1" max="1" width="9.6640625" bestFit="1" customWidth="1"/>
    <col min="5" max="5" width="12.109375" bestFit="1" customWidth="1"/>
    <col min="9" max="9" width="9.6640625" bestFit="1" customWidth="1"/>
  </cols>
  <sheetData>
    <row r="1" spans="1:13" x14ac:dyDescent="0.3">
      <c r="A1" t="s">
        <v>200</v>
      </c>
      <c r="B1" t="s">
        <v>84</v>
      </c>
      <c r="C1" t="s">
        <v>201</v>
      </c>
      <c r="D1" t="s">
        <v>202</v>
      </c>
      <c r="E1" t="s">
        <v>203</v>
      </c>
      <c r="I1" t="s">
        <v>209</v>
      </c>
      <c r="J1" t="s">
        <v>84</v>
      </c>
      <c r="K1" t="s">
        <v>209</v>
      </c>
      <c r="L1" t="s">
        <v>210</v>
      </c>
      <c r="M1" t="s">
        <v>211</v>
      </c>
    </row>
    <row r="2" spans="1:13" x14ac:dyDescent="0.3">
      <c r="A2" t="s">
        <v>204</v>
      </c>
      <c r="I2" t="s">
        <v>204</v>
      </c>
    </row>
    <row r="3" spans="1:13" x14ac:dyDescent="0.3">
      <c r="A3" t="s">
        <v>205</v>
      </c>
      <c r="B3">
        <v>10</v>
      </c>
      <c r="C3">
        <v>6.5</v>
      </c>
      <c r="E3">
        <f>C3/B3</f>
        <v>0.65</v>
      </c>
      <c r="I3" t="s">
        <v>205</v>
      </c>
      <c r="J3">
        <v>25</v>
      </c>
      <c r="K3">
        <f>C4+C14</f>
        <v>25.9</v>
      </c>
      <c r="L3">
        <f>K3/J3</f>
        <v>1.036</v>
      </c>
    </row>
    <row r="4" spans="1:13" x14ac:dyDescent="0.3">
      <c r="A4" t="s">
        <v>205</v>
      </c>
      <c r="B4">
        <v>25</v>
      </c>
      <c r="C4">
        <v>13.25</v>
      </c>
      <c r="E4">
        <f t="shared" ref="E4:E22" si="0">C4/B4</f>
        <v>0.53</v>
      </c>
      <c r="I4" t="s">
        <v>205</v>
      </c>
      <c r="J4">
        <v>50</v>
      </c>
      <c r="K4">
        <f>C5+C15</f>
        <v>46.15</v>
      </c>
      <c r="L4">
        <f t="shared" ref="L4:L12" si="1">K4/J4</f>
        <v>0.92299999999999993</v>
      </c>
      <c r="M4">
        <f>L3-L4</f>
        <v>0.1130000000000001</v>
      </c>
    </row>
    <row r="5" spans="1:13" x14ac:dyDescent="0.3">
      <c r="A5" t="s">
        <v>205</v>
      </c>
      <c r="B5">
        <v>50</v>
      </c>
      <c r="C5">
        <v>22.5</v>
      </c>
      <c r="E5">
        <f t="shared" si="0"/>
        <v>0.45</v>
      </c>
      <c r="I5" t="s">
        <v>205</v>
      </c>
      <c r="J5">
        <v>100</v>
      </c>
      <c r="K5">
        <f>C6+C16</f>
        <v>87</v>
      </c>
      <c r="L5" s="54">
        <f t="shared" si="1"/>
        <v>0.87</v>
      </c>
      <c r="M5">
        <f t="shared" ref="M5:M12" si="2">L4-L5</f>
        <v>5.2999999999999936E-2</v>
      </c>
    </row>
    <row r="6" spans="1:13" x14ac:dyDescent="0.3">
      <c r="A6" t="s">
        <v>205</v>
      </c>
      <c r="B6">
        <v>100</v>
      </c>
      <c r="C6">
        <v>43</v>
      </c>
      <c r="E6">
        <f t="shared" si="0"/>
        <v>0.43</v>
      </c>
      <c r="I6" t="s">
        <v>205</v>
      </c>
      <c r="J6">
        <v>200</v>
      </c>
      <c r="K6">
        <f>C7+C17</f>
        <v>165.5</v>
      </c>
      <c r="L6">
        <f>K6/J6</f>
        <v>0.82750000000000001</v>
      </c>
      <c r="M6">
        <f t="shared" si="2"/>
        <v>4.2499999999999982E-2</v>
      </c>
    </row>
    <row r="7" spans="1:13" x14ac:dyDescent="0.3">
      <c r="A7" t="s">
        <v>205</v>
      </c>
      <c r="B7">
        <v>200</v>
      </c>
      <c r="C7">
        <v>80</v>
      </c>
      <c r="E7">
        <f t="shared" si="0"/>
        <v>0.4</v>
      </c>
      <c r="I7" t="s">
        <v>205</v>
      </c>
      <c r="J7">
        <v>500</v>
      </c>
      <c r="K7">
        <f>C8+C18</f>
        <v>384</v>
      </c>
      <c r="L7">
        <f t="shared" si="1"/>
        <v>0.76800000000000002</v>
      </c>
      <c r="M7">
        <f t="shared" si="2"/>
        <v>5.9499999999999997E-2</v>
      </c>
    </row>
    <row r="8" spans="1:13" x14ac:dyDescent="0.3">
      <c r="A8" t="s">
        <v>205</v>
      </c>
      <c r="B8">
        <v>500</v>
      </c>
      <c r="C8">
        <v>175</v>
      </c>
      <c r="E8">
        <f t="shared" si="0"/>
        <v>0.35</v>
      </c>
      <c r="I8" t="s">
        <v>206</v>
      </c>
      <c r="J8">
        <v>25</v>
      </c>
      <c r="K8">
        <f>C10+C14</f>
        <v>28.9</v>
      </c>
      <c r="L8">
        <f>K8/J8</f>
        <v>1.1559999999999999</v>
      </c>
      <c r="M8">
        <f t="shared" si="2"/>
        <v>-0.3879999999999999</v>
      </c>
    </row>
    <row r="9" spans="1:13" x14ac:dyDescent="0.3">
      <c r="A9" t="s">
        <v>206</v>
      </c>
      <c r="B9">
        <v>10</v>
      </c>
      <c r="C9">
        <v>7.5</v>
      </c>
      <c r="E9">
        <f t="shared" si="0"/>
        <v>0.75</v>
      </c>
      <c r="I9" t="s">
        <v>206</v>
      </c>
      <c r="J9">
        <v>50</v>
      </c>
      <c r="K9">
        <f>C11+C15</f>
        <v>51.15</v>
      </c>
      <c r="L9">
        <f>K9/J9</f>
        <v>1.0229999999999999</v>
      </c>
      <c r="M9">
        <f t="shared" si="2"/>
        <v>0.13300000000000001</v>
      </c>
    </row>
    <row r="10" spans="1:13" x14ac:dyDescent="0.3">
      <c r="B10">
        <v>25</v>
      </c>
      <c r="C10">
        <v>16.25</v>
      </c>
      <c r="E10">
        <f t="shared" si="0"/>
        <v>0.65</v>
      </c>
      <c r="I10" t="s">
        <v>206</v>
      </c>
      <c r="J10">
        <v>100</v>
      </c>
      <c r="K10">
        <f>C12+C16</f>
        <v>92</v>
      </c>
      <c r="L10" s="54">
        <f>K10/J10</f>
        <v>0.92</v>
      </c>
      <c r="M10">
        <f t="shared" si="2"/>
        <v>0.10299999999999987</v>
      </c>
    </row>
    <row r="11" spans="1:13" x14ac:dyDescent="0.3">
      <c r="B11">
        <v>50</v>
      </c>
      <c r="C11">
        <v>27.5</v>
      </c>
      <c r="E11">
        <f t="shared" si="0"/>
        <v>0.55000000000000004</v>
      </c>
      <c r="I11" t="s">
        <v>206</v>
      </c>
      <c r="J11">
        <v>200</v>
      </c>
      <c r="K11">
        <f>2*C12+C17</f>
        <v>181.5</v>
      </c>
      <c r="L11">
        <f>K11/J11</f>
        <v>0.90749999999999997</v>
      </c>
      <c r="M11">
        <f t="shared" si="2"/>
        <v>1.2500000000000067E-2</v>
      </c>
    </row>
    <row r="12" spans="1:13" x14ac:dyDescent="0.3">
      <c r="B12">
        <v>100</v>
      </c>
      <c r="C12">
        <v>48</v>
      </c>
      <c r="E12">
        <f t="shared" si="0"/>
        <v>0.48</v>
      </c>
      <c r="I12" t="s">
        <v>206</v>
      </c>
      <c r="J12">
        <v>500</v>
      </c>
      <c r="K12">
        <f>5*C12+C18</f>
        <v>449</v>
      </c>
      <c r="L12">
        <f t="shared" si="1"/>
        <v>0.89800000000000002</v>
      </c>
      <c r="M12">
        <f t="shared" si="2"/>
        <v>9.4999999999999529E-3</v>
      </c>
    </row>
    <row r="13" spans="1:13" x14ac:dyDescent="0.3">
      <c r="A13" t="s">
        <v>207</v>
      </c>
      <c r="B13">
        <v>10</v>
      </c>
      <c r="C13">
        <v>5.5</v>
      </c>
      <c r="E13">
        <f t="shared" si="0"/>
        <v>0.55000000000000004</v>
      </c>
      <c r="I13" t="s">
        <v>208</v>
      </c>
      <c r="J13">
        <v>20</v>
      </c>
      <c r="K13">
        <f>C20+C22</f>
        <v>13</v>
      </c>
      <c r="L13">
        <f>K13/J13</f>
        <v>0.65</v>
      </c>
    </row>
    <row r="14" spans="1:13" x14ac:dyDescent="0.3">
      <c r="B14">
        <v>25</v>
      </c>
      <c r="C14">
        <v>12.65</v>
      </c>
      <c r="E14">
        <f t="shared" si="0"/>
        <v>0.50600000000000001</v>
      </c>
      <c r="I14" t="s">
        <v>208</v>
      </c>
      <c r="J14">
        <v>60</v>
      </c>
      <c r="K14">
        <f>K13*3</f>
        <v>39</v>
      </c>
      <c r="L14">
        <f>K14/J14</f>
        <v>0.65</v>
      </c>
    </row>
    <row r="15" spans="1:13" x14ac:dyDescent="0.3">
      <c r="B15">
        <v>50</v>
      </c>
      <c r="C15">
        <v>23.65</v>
      </c>
      <c r="E15">
        <f t="shared" si="0"/>
        <v>0.47299999999999998</v>
      </c>
      <c r="I15" t="s">
        <v>208</v>
      </c>
      <c r="J15">
        <v>100</v>
      </c>
      <c r="K15">
        <f>K13*5</f>
        <v>65</v>
      </c>
      <c r="L15" s="54">
        <f>K15/J15</f>
        <v>0.65</v>
      </c>
    </row>
    <row r="16" spans="1:13" x14ac:dyDescent="0.3">
      <c r="B16">
        <v>100</v>
      </c>
      <c r="C16">
        <v>44</v>
      </c>
      <c r="E16">
        <f t="shared" si="0"/>
        <v>0.44</v>
      </c>
    </row>
    <row r="17" spans="1:5" x14ac:dyDescent="0.3">
      <c r="B17">
        <v>200</v>
      </c>
      <c r="C17">
        <v>85.5</v>
      </c>
      <c r="E17">
        <f t="shared" si="0"/>
        <v>0.42749999999999999</v>
      </c>
    </row>
    <row r="18" spans="1:5" x14ac:dyDescent="0.3">
      <c r="B18">
        <v>500</v>
      </c>
      <c r="C18">
        <v>209</v>
      </c>
      <c r="E18">
        <f t="shared" si="0"/>
        <v>0.41799999999999998</v>
      </c>
    </row>
    <row r="19" spans="1:5" x14ac:dyDescent="0.3">
      <c r="A19" t="s">
        <v>208</v>
      </c>
    </row>
    <row r="20" spans="1:5" x14ac:dyDescent="0.3">
      <c r="A20" t="s">
        <v>205</v>
      </c>
      <c r="B20">
        <v>20</v>
      </c>
      <c r="C20">
        <v>6.5</v>
      </c>
      <c r="E20">
        <f t="shared" si="0"/>
        <v>0.32500000000000001</v>
      </c>
    </row>
    <row r="21" spans="1:5" x14ac:dyDescent="0.3">
      <c r="A21" t="s">
        <v>206</v>
      </c>
      <c r="B21">
        <v>20</v>
      </c>
      <c r="C21">
        <v>6.5</v>
      </c>
      <c r="E21">
        <f t="shared" si="0"/>
        <v>0.32500000000000001</v>
      </c>
    </row>
    <row r="22" spans="1:5" x14ac:dyDescent="0.3">
      <c r="A22" t="s">
        <v>207</v>
      </c>
      <c r="B22">
        <v>20</v>
      </c>
      <c r="C22">
        <v>6.5</v>
      </c>
      <c r="E22">
        <f t="shared" si="0"/>
        <v>0.32500000000000001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F47D8-BBF7-4C16-BA97-853C39F2E503}">
  <dimension ref="A1:D24"/>
  <sheetViews>
    <sheetView workbookViewId="0">
      <selection activeCell="D12" sqref="D12"/>
    </sheetView>
  </sheetViews>
  <sheetFormatPr defaultRowHeight="14.4" x14ac:dyDescent="0.3"/>
  <cols>
    <col min="1" max="1" width="77.21875" customWidth="1"/>
  </cols>
  <sheetData>
    <row r="1" spans="1:4" x14ac:dyDescent="0.3">
      <c r="A1" s="55" t="s">
        <v>212</v>
      </c>
    </row>
    <row r="2" spans="1:4" x14ac:dyDescent="0.3">
      <c r="A2" s="56" t="s">
        <v>213</v>
      </c>
    </row>
    <row r="4" spans="1:4" x14ac:dyDescent="0.3">
      <c r="A4" s="57" t="s">
        <v>3</v>
      </c>
      <c r="B4" s="57" t="s">
        <v>121</v>
      </c>
      <c r="C4" s="57" t="s">
        <v>6</v>
      </c>
    </row>
    <row r="5" spans="1:4" x14ac:dyDescent="0.3">
      <c r="A5" s="58" t="s">
        <v>214</v>
      </c>
      <c r="B5" s="59">
        <v>3</v>
      </c>
      <c r="C5" s="56" t="s">
        <v>215</v>
      </c>
    </row>
    <row r="6" spans="1:4" x14ac:dyDescent="0.3">
      <c r="A6" s="58" t="s">
        <v>216</v>
      </c>
      <c r="B6" s="60">
        <v>0.04</v>
      </c>
      <c r="C6" s="56" t="s">
        <v>217</v>
      </c>
    </row>
    <row r="7" spans="1:4" x14ac:dyDescent="0.3">
      <c r="A7" s="58" t="s">
        <v>218</v>
      </c>
      <c r="B7" s="60">
        <v>0.128</v>
      </c>
      <c r="C7" s="56" t="s">
        <v>219</v>
      </c>
    </row>
    <row r="8" spans="1:4" x14ac:dyDescent="0.3">
      <c r="A8" s="58" t="s">
        <v>220</v>
      </c>
      <c r="B8" s="59">
        <v>0.3</v>
      </c>
      <c r="C8" s="56" t="s">
        <v>221</v>
      </c>
    </row>
    <row r="9" spans="1:4" x14ac:dyDescent="0.3">
      <c r="A9" s="58" t="s">
        <v>222</v>
      </c>
      <c r="B9" s="60">
        <v>4.0000000000000001E-3</v>
      </c>
      <c r="C9" s="56" t="s">
        <v>223</v>
      </c>
    </row>
    <row r="11" spans="1:4" x14ac:dyDescent="0.3">
      <c r="A11" s="55" t="s">
        <v>224</v>
      </c>
      <c r="D11">
        <v>3.9</v>
      </c>
    </row>
    <row r="12" spans="1:4" x14ac:dyDescent="0.3">
      <c r="A12" s="58" t="s">
        <v>225</v>
      </c>
      <c r="B12" s="61">
        <v>0.12</v>
      </c>
      <c r="C12">
        <f>B6*B5</f>
        <v>0.12</v>
      </c>
      <c r="D12">
        <f>B6*D11</f>
        <v>0.156</v>
      </c>
    </row>
    <row r="13" spans="1:4" x14ac:dyDescent="0.3">
      <c r="A13" s="58" t="s">
        <v>226</v>
      </c>
      <c r="B13" s="61">
        <v>0.38400000000000001</v>
      </c>
      <c r="C13">
        <f>B7*B5</f>
        <v>0.38400000000000001</v>
      </c>
      <c r="D13">
        <f>B7*D11</f>
        <v>0.49919999999999998</v>
      </c>
    </row>
    <row r="14" spans="1:4" x14ac:dyDescent="0.3">
      <c r="A14" s="58" t="s">
        <v>227</v>
      </c>
      <c r="B14" s="61">
        <v>1.2E-2</v>
      </c>
      <c r="C14">
        <f>B9*B5</f>
        <v>1.2E-2</v>
      </c>
      <c r="D14">
        <f>B9*D11</f>
        <v>1.5599999999999999E-2</v>
      </c>
    </row>
    <row r="15" spans="1:4" x14ac:dyDescent="0.3">
      <c r="A15" s="58" t="s">
        <v>228</v>
      </c>
      <c r="B15" s="61">
        <v>0.81599999999999995</v>
      </c>
      <c r="C15" s="67">
        <f>SUM(C12:C14)+B8</f>
        <v>0.81600000000000006</v>
      </c>
      <c r="D15" s="67">
        <f>SUM(D12:D14)+B8</f>
        <v>0.97079999999999989</v>
      </c>
    </row>
    <row r="16" spans="1:4" x14ac:dyDescent="0.3">
      <c r="A16" s="58" t="s">
        <v>229</v>
      </c>
      <c r="B16" s="61">
        <v>2.1840000000000002</v>
      </c>
      <c r="C16" s="67">
        <f>B5-C15</f>
        <v>2.1840000000000002</v>
      </c>
      <c r="D16" s="67">
        <f>D11-D15</f>
        <v>2.9291999999999998</v>
      </c>
    </row>
    <row r="17" spans="1:2" x14ac:dyDescent="0.3">
      <c r="A17" s="58" t="s">
        <v>230</v>
      </c>
      <c r="B17" s="62">
        <v>0.27200000000000002</v>
      </c>
    </row>
    <row r="19" spans="1:2" x14ac:dyDescent="0.3">
      <c r="A19" s="55" t="s">
        <v>231</v>
      </c>
    </row>
    <row r="20" spans="1:2" x14ac:dyDescent="0.3">
      <c r="A20" s="58" t="s">
        <v>232</v>
      </c>
      <c r="B20" s="63">
        <v>10</v>
      </c>
    </row>
    <row r="21" spans="1:2" x14ac:dyDescent="0.3">
      <c r="A21" s="58" t="s">
        <v>233</v>
      </c>
      <c r="B21" s="61">
        <v>1.2</v>
      </c>
    </row>
    <row r="22" spans="1:2" x14ac:dyDescent="0.3">
      <c r="A22" s="58" t="s">
        <v>234</v>
      </c>
      <c r="B22" s="61">
        <v>8.16</v>
      </c>
    </row>
    <row r="24" spans="1:2" x14ac:dyDescent="0.3">
      <c r="A24" s="56" t="s">
        <v>235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FD39-E305-4676-A93E-6B2FD6FBE931}">
  <dimension ref="A1:C33"/>
  <sheetViews>
    <sheetView topLeftCell="A6" workbookViewId="0">
      <selection activeCell="H17" sqref="H17"/>
    </sheetView>
  </sheetViews>
  <sheetFormatPr defaultRowHeight="14.4" x14ac:dyDescent="0.3"/>
  <cols>
    <col min="1" max="1" width="48.44140625" customWidth="1"/>
  </cols>
  <sheetData>
    <row r="1" spans="1:3" ht="17.399999999999999" x14ac:dyDescent="0.3">
      <c r="A1" s="64" t="s">
        <v>236</v>
      </c>
    </row>
    <row r="2" spans="1:3" x14ac:dyDescent="0.3">
      <c r="A2" s="56" t="s">
        <v>237</v>
      </c>
    </row>
    <row r="4" spans="1:3" x14ac:dyDescent="0.3">
      <c r="A4" s="55" t="s">
        <v>238</v>
      </c>
    </row>
    <row r="5" spans="1:3" x14ac:dyDescent="0.3">
      <c r="A5" s="57" t="s">
        <v>3</v>
      </c>
      <c r="B5" s="57" t="s">
        <v>121</v>
      </c>
      <c r="C5" s="57" t="s">
        <v>6</v>
      </c>
    </row>
    <row r="6" spans="1:3" x14ac:dyDescent="0.3">
      <c r="A6" s="58" t="s">
        <v>239</v>
      </c>
      <c r="B6" s="59">
        <v>3</v>
      </c>
      <c r="C6" s="56" t="s">
        <v>240</v>
      </c>
    </row>
    <row r="7" spans="1:3" x14ac:dyDescent="0.3">
      <c r="A7" s="58" t="s">
        <v>241</v>
      </c>
      <c r="B7" s="59">
        <v>0.16</v>
      </c>
      <c r="C7" s="56" t="s">
        <v>242</v>
      </c>
    </row>
    <row r="8" spans="1:3" x14ac:dyDescent="0.3">
      <c r="A8" s="58" t="s">
        <v>243</v>
      </c>
      <c r="B8" s="60">
        <v>6.5000000000000002E-2</v>
      </c>
      <c r="C8" s="56" t="s">
        <v>244</v>
      </c>
    </row>
    <row r="9" spans="1:3" x14ac:dyDescent="0.3">
      <c r="A9" s="58" t="s">
        <v>245</v>
      </c>
      <c r="B9" s="60">
        <v>0.04</v>
      </c>
      <c r="C9" s="56" t="s">
        <v>246</v>
      </c>
    </row>
    <row r="10" spans="1:3" x14ac:dyDescent="0.3">
      <c r="A10" s="58" t="s">
        <v>247</v>
      </c>
      <c r="B10" s="59">
        <v>0.2</v>
      </c>
    </row>
    <row r="11" spans="1:3" x14ac:dyDescent="0.3">
      <c r="A11" s="58" t="s">
        <v>248</v>
      </c>
      <c r="B11" s="60">
        <v>3.2000000000000002E-3</v>
      </c>
      <c r="C11" s="56" t="s">
        <v>249</v>
      </c>
    </row>
    <row r="12" spans="1:3" x14ac:dyDescent="0.3">
      <c r="A12" s="58" t="s">
        <v>250</v>
      </c>
      <c r="B12" s="60">
        <v>0.2</v>
      </c>
      <c r="C12" s="56" t="s">
        <v>251</v>
      </c>
    </row>
    <row r="13" spans="1:3" x14ac:dyDescent="0.3">
      <c r="A13" s="58" t="s">
        <v>252</v>
      </c>
      <c r="B13" s="65" t="s">
        <v>253</v>
      </c>
      <c r="C13" s="56" t="s">
        <v>254</v>
      </c>
    </row>
    <row r="14" spans="1:3" x14ac:dyDescent="0.3">
      <c r="A14" s="58" t="s">
        <v>255</v>
      </c>
      <c r="B14" s="60">
        <v>0.15</v>
      </c>
      <c r="C14" s="56" t="s">
        <v>256</v>
      </c>
    </row>
    <row r="15" spans="1:3" x14ac:dyDescent="0.3">
      <c r="A15" s="58" t="s">
        <v>257</v>
      </c>
      <c r="B15" s="59">
        <v>1</v>
      </c>
      <c r="C15" s="56" t="s">
        <v>258</v>
      </c>
    </row>
    <row r="17" spans="1:3" x14ac:dyDescent="0.3">
      <c r="A17" s="55" t="s">
        <v>259</v>
      </c>
    </row>
    <row r="18" spans="1:3" x14ac:dyDescent="0.3">
      <c r="A18" s="58" t="s">
        <v>260</v>
      </c>
      <c r="B18" s="61">
        <v>0.19500000000000001</v>
      </c>
    </row>
    <row r="19" spans="1:3" x14ac:dyDescent="0.3">
      <c r="A19" s="58" t="s">
        <v>261</v>
      </c>
      <c r="B19" s="61">
        <v>0.32</v>
      </c>
    </row>
    <row r="20" spans="1:3" x14ac:dyDescent="0.3">
      <c r="A20" s="58" t="s">
        <v>262</v>
      </c>
      <c r="B20" s="61">
        <v>9.5999999999999992E-3</v>
      </c>
    </row>
    <row r="21" spans="1:3" x14ac:dyDescent="0.3">
      <c r="A21" s="58" t="s">
        <v>263</v>
      </c>
      <c r="B21" s="61">
        <v>0.68459999999999999</v>
      </c>
    </row>
    <row r="22" spans="1:3" x14ac:dyDescent="0.3">
      <c r="A22" s="58" t="s">
        <v>264</v>
      </c>
      <c r="B22" s="61">
        <v>0.13691999999999999</v>
      </c>
    </row>
    <row r="23" spans="1:3" x14ac:dyDescent="0.3">
      <c r="A23" s="58" t="s">
        <v>265</v>
      </c>
      <c r="B23" s="61">
        <v>0</v>
      </c>
    </row>
    <row r="24" spans="1:3" x14ac:dyDescent="0.3">
      <c r="A24" s="58" t="s">
        <v>266</v>
      </c>
      <c r="B24" s="61">
        <v>0.82152000000000003</v>
      </c>
    </row>
    <row r="25" spans="1:3" x14ac:dyDescent="0.3">
      <c r="A25" s="58" t="s">
        <v>267</v>
      </c>
      <c r="B25" s="61">
        <v>2.17848</v>
      </c>
    </row>
    <row r="26" spans="1:3" x14ac:dyDescent="0.3">
      <c r="A26" s="58" t="s">
        <v>268</v>
      </c>
      <c r="B26" s="62">
        <v>0.27383999999999997</v>
      </c>
    </row>
    <row r="28" spans="1:3" x14ac:dyDescent="0.3">
      <c r="A28" s="55" t="s">
        <v>269</v>
      </c>
    </row>
    <row r="29" spans="1:3" x14ac:dyDescent="0.3">
      <c r="A29" s="58" t="s">
        <v>232</v>
      </c>
      <c r="B29" s="63">
        <v>10</v>
      </c>
    </row>
    <row r="30" spans="1:3" x14ac:dyDescent="0.3">
      <c r="A30" s="58" t="s">
        <v>270</v>
      </c>
      <c r="B30" s="61">
        <v>8.2151999999999994</v>
      </c>
    </row>
    <row r="31" spans="1:3" x14ac:dyDescent="0.3">
      <c r="A31" s="58" t="s">
        <v>271</v>
      </c>
      <c r="B31" s="61">
        <v>30</v>
      </c>
      <c r="C31" s="56" t="s">
        <v>272</v>
      </c>
    </row>
    <row r="33" spans="1:1" x14ac:dyDescent="0.3">
      <c r="A33" s="56" t="s">
        <v>273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8686C-2CC2-4CE9-B8BC-169E12CFA14B}">
  <dimension ref="A1:C29"/>
  <sheetViews>
    <sheetView workbookViewId="0">
      <selection activeCell="K8" sqref="K8"/>
    </sheetView>
  </sheetViews>
  <sheetFormatPr defaultRowHeight="14.4" x14ac:dyDescent="0.3"/>
  <sheetData>
    <row r="1" spans="1:3" ht="17.399999999999999" x14ac:dyDescent="0.3">
      <c r="A1" s="64" t="s">
        <v>274</v>
      </c>
    </row>
    <row r="2" spans="1:3" x14ac:dyDescent="0.3">
      <c r="A2" s="56" t="s">
        <v>275</v>
      </c>
    </row>
    <row r="4" spans="1:3" x14ac:dyDescent="0.3">
      <c r="A4" s="55" t="s">
        <v>238</v>
      </c>
    </row>
    <row r="5" spans="1:3" x14ac:dyDescent="0.3">
      <c r="A5" s="57" t="s">
        <v>3</v>
      </c>
      <c r="B5" s="57" t="s">
        <v>121</v>
      </c>
      <c r="C5" s="57" t="s">
        <v>6</v>
      </c>
    </row>
    <row r="6" spans="1:3" x14ac:dyDescent="0.3">
      <c r="A6" s="58" t="s">
        <v>214</v>
      </c>
      <c r="B6" s="59">
        <v>3</v>
      </c>
      <c r="C6" s="56" t="s">
        <v>276</v>
      </c>
    </row>
    <row r="7" spans="1:3" x14ac:dyDescent="0.3">
      <c r="A7" s="58" t="s">
        <v>277</v>
      </c>
      <c r="B7" s="60">
        <v>0.15</v>
      </c>
      <c r="C7" s="56" t="s">
        <v>278</v>
      </c>
    </row>
    <row r="8" spans="1:3" x14ac:dyDescent="0.3">
      <c r="A8" s="58" t="s">
        <v>279</v>
      </c>
      <c r="B8" s="59">
        <v>0.25</v>
      </c>
      <c r="C8" s="56" t="s">
        <v>280</v>
      </c>
    </row>
    <row r="9" spans="1:3" x14ac:dyDescent="0.3">
      <c r="A9" s="58" t="s">
        <v>281</v>
      </c>
      <c r="B9" s="60">
        <v>0.02</v>
      </c>
      <c r="C9" s="56" t="s">
        <v>282</v>
      </c>
    </row>
    <row r="10" spans="1:3" x14ac:dyDescent="0.3">
      <c r="A10" s="58" t="s">
        <v>283</v>
      </c>
      <c r="B10" s="65" t="s">
        <v>253</v>
      </c>
      <c r="C10" s="56" t="s">
        <v>284</v>
      </c>
    </row>
    <row r="11" spans="1:3" x14ac:dyDescent="0.3">
      <c r="A11" s="58" t="s">
        <v>285</v>
      </c>
      <c r="B11" s="59">
        <v>25</v>
      </c>
    </row>
    <row r="12" spans="1:3" x14ac:dyDescent="0.3">
      <c r="A12" s="58" t="s">
        <v>286</v>
      </c>
      <c r="B12" s="59">
        <v>0.75</v>
      </c>
    </row>
    <row r="13" spans="1:3" x14ac:dyDescent="0.3">
      <c r="A13" s="58" t="s">
        <v>287</v>
      </c>
      <c r="B13" s="60">
        <v>0.35</v>
      </c>
      <c r="C13" s="56" t="s">
        <v>288</v>
      </c>
    </row>
    <row r="15" spans="1:3" x14ac:dyDescent="0.3">
      <c r="A15" s="55" t="s">
        <v>289</v>
      </c>
    </row>
    <row r="16" spans="1:3" x14ac:dyDescent="0.3">
      <c r="A16" s="58" t="s">
        <v>290</v>
      </c>
      <c r="B16" s="61">
        <v>0.45</v>
      </c>
    </row>
    <row r="17" spans="1:3" x14ac:dyDescent="0.3">
      <c r="A17" s="58" t="s">
        <v>291</v>
      </c>
      <c r="B17" s="61">
        <v>0.45900000000000002</v>
      </c>
    </row>
    <row r="18" spans="1:3" x14ac:dyDescent="0.3">
      <c r="A18" s="58" t="s">
        <v>292</v>
      </c>
      <c r="B18" s="61">
        <v>0.75</v>
      </c>
      <c r="C18" s="56" t="s">
        <v>293</v>
      </c>
    </row>
    <row r="19" spans="1:3" x14ac:dyDescent="0.3">
      <c r="A19" s="58" t="s">
        <v>294</v>
      </c>
      <c r="B19" s="61">
        <v>1.2090000000000001</v>
      </c>
    </row>
    <row r="20" spans="1:3" x14ac:dyDescent="0.3">
      <c r="A20" s="58" t="s">
        <v>295</v>
      </c>
      <c r="B20" s="61">
        <v>1.7909999999999999</v>
      </c>
    </row>
    <row r="21" spans="1:3" x14ac:dyDescent="0.3">
      <c r="A21" s="58" t="s">
        <v>296</v>
      </c>
      <c r="B21" s="62">
        <v>0.40300000000000002</v>
      </c>
    </row>
    <row r="23" spans="1:3" x14ac:dyDescent="0.3">
      <c r="A23" s="55" t="s">
        <v>297</v>
      </c>
    </row>
    <row r="24" spans="1:3" x14ac:dyDescent="0.3">
      <c r="A24" s="58" t="s">
        <v>232</v>
      </c>
      <c r="B24" s="63">
        <v>10</v>
      </c>
    </row>
    <row r="25" spans="1:3" x14ac:dyDescent="0.3">
      <c r="A25" s="58" t="s">
        <v>298</v>
      </c>
      <c r="B25" s="61">
        <v>12.09</v>
      </c>
    </row>
    <row r="26" spans="1:3" x14ac:dyDescent="0.3">
      <c r="A26" s="58" t="s">
        <v>299</v>
      </c>
      <c r="B26" s="61">
        <v>0</v>
      </c>
    </row>
    <row r="27" spans="1:3" x14ac:dyDescent="0.3">
      <c r="A27" s="58" t="s">
        <v>300</v>
      </c>
      <c r="B27" s="61">
        <v>0</v>
      </c>
      <c r="C27" s="56" t="s">
        <v>301</v>
      </c>
    </row>
    <row r="29" spans="1:3" x14ac:dyDescent="0.3">
      <c r="A29" s="5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Tier 1 Equipment Costs</vt:lpstr>
      <vt:lpstr>Bin Stickers 100x140 4pk</vt:lpstr>
      <vt:lpstr>Recurring Overhead</vt:lpstr>
      <vt:lpstr>cost per item</vt:lpstr>
      <vt:lpstr>Ebay costs</vt:lpstr>
      <vt:lpstr>Etsy</vt:lpstr>
      <vt:lpstr>Amazon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2026-08-15T04:07:24Z</dcterms:modified>
  <dc:language>en-US</dc:language>
</cp:coreProperties>
</file>