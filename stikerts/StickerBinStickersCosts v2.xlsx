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iron\Local Sites\ordermachine\app\public\wp-content\plugins\orderMachine\stikerts\"/>
    </mc:Choice>
  </mc:AlternateContent>
  <xr:revisionPtr revIDLastSave="0" documentId="8_{F9674F21-5146-47DD-ACEE-751FDD56EB03}" xr6:coauthVersionLast="47" xr6:coauthVersionMax="47" xr10:uidLastSave="{00000000-0000-0000-0000-000000000000}"/>
  <bookViews>
    <workbookView xWindow="-108" yWindow="-108" windowWidth="23256" windowHeight="12456" tabRatio="500" xr2:uid="{00000000-000D-0000-FFFF-FFFF00000000}"/>
  </bookViews>
  <sheets>
    <sheet name="Tier 1 Equipment Costs" sheetId="1" r:id="rId1"/>
    <sheet name="Bin Stickers 100x140 4pk" sheetId="2" r:id="rId2"/>
    <sheet name="Recurring Overhead" sheetId="3" r:id="rId3"/>
    <sheet name="cost per item" sheetId="4" r:id="rId4"/>
    <sheet name="Ebay costs" sheetId="5" r:id="rId5"/>
    <sheet name="Etsy" sheetId="6" r:id="rId6"/>
    <sheet name="Amazon" sheetId="7" r:id="rId7"/>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0" i="1" l="1"/>
  <c r="E13" i="3"/>
  <c r="E14" i="5"/>
  <c r="D14" i="5"/>
  <c r="E13" i="5"/>
  <c r="D13" i="5"/>
  <c r="E15" i="5"/>
  <c r="E16" i="5" s="1"/>
  <c r="E12" i="5"/>
  <c r="D12" i="5"/>
  <c r="D15" i="5" s="1"/>
  <c r="D16" i="5" s="1"/>
  <c r="C14" i="5"/>
  <c r="C13" i="5"/>
  <c r="C12" i="5"/>
  <c r="C15" i="5" s="1"/>
  <c r="C16" i="5" s="1"/>
  <c r="M5" i="4"/>
  <c r="M6" i="4"/>
  <c r="M7" i="4"/>
  <c r="M8" i="4"/>
  <c r="M9" i="4"/>
  <c r="M10" i="4"/>
  <c r="M11" i="4"/>
  <c r="M12" i="4"/>
  <c r="M4" i="4"/>
  <c r="L11" i="4"/>
  <c r="L12" i="4"/>
  <c r="K12" i="4"/>
  <c r="K11" i="4"/>
  <c r="L6" i="4"/>
  <c r="L7" i="4"/>
  <c r="K7" i="4"/>
  <c r="K6" i="4"/>
  <c r="L4" i="4"/>
  <c r="L5" i="4"/>
  <c r="L8" i="4"/>
  <c r="L9" i="4"/>
  <c r="L10" i="4"/>
  <c r="L13" i="4"/>
  <c r="L3" i="4"/>
  <c r="K15" i="4"/>
  <c r="L15" i="4" s="1"/>
  <c r="K14" i="4"/>
  <c r="L14" i="4" s="1"/>
  <c r="K13" i="4"/>
  <c r="K10" i="4"/>
  <c r="K9" i="4"/>
  <c r="K8" i="4"/>
  <c r="K5" i="4"/>
  <c r="K4" i="4"/>
  <c r="K3" i="4"/>
  <c r="E4" i="4"/>
  <c r="E5" i="4"/>
  <c r="E6" i="4"/>
  <c r="E7" i="4"/>
  <c r="E8" i="4"/>
  <c r="E9" i="4"/>
  <c r="E10" i="4"/>
  <c r="E11" i="4"/>
  <c r="E12" i="4"/>
  <c r="E13" i="4"/>
  <c r="E14" i="4"/>
  <c r="E15" i="4"/>
  <c r="E16" i="4"/>
  <c r="E17" i="4"/>
  <c r="E18" i="4"/>
  <c r="E20" i="4"/>
  <c r="E21" i="4"/>
  <c r="E22" i="4"/>
  <c r="E3" i="4"/>
  <c r="E10" i="3"/>
  <c r="E8" i="3"/>
  <c r="E7" i="3"/>
  <c r="E6" i="3"/>
  <c r="B54" i="2"/>
  <c r="B56" i="2" s="1"/>
  <c r="B48" i="2"/>
  <c r="B36" i="2"/>
  <c r="B28" i="2"/>
  <c r="B17" i="2"/>
  <c r="B15" i="2"/>
  <c r="B18" i="2" s="1"/>
  <c r="B30" i="2" s="1"/>
  <c r="B44" i="1"/>
  <c r="F42" i="1"/>
  <c r="F41" i="1"/>
  <c r="F40" i="1"/>
  <c r="F39" i="1"/>
  <c r="F38" i="1"/>
  <c r="F37" i="1"/>
  <c r="F36" i="1"/>
  <c r="F35" i="1"/>
  <c r="F34" i="1"/>
  <c r="F33" i="1"/>
  <c r="F32" i="1"/>
  <c r="F31" i="1"/>
  <c r="B22" i="1"/>
  <c r="B14" i="1"/>
  <c r="B34" i="3"/>
  <c r="B24" i="3"/>
  <c r="B21" i="3"/>
  <c r="B13" i="3"/>
  <c r="B58" i="2" l="1"/>
  <c r="B31" i="2"/>
  <c r="B46" i="1"/>
  <c r="B56" i="1" s="1"/>
  <c r="B24" i="1"/>
  <c r="B30" i="3"/>
  <c r="B35" i="3"/>
  <c r="B65" i="2" s="1"/>
  <c r="B66" i="2" s="1"/>
  <c r="B29" i="3"/>
  <c r="B28" i="3"/>
  <c r="B37" i="2"/>
  <c r="E58" i="2" l="1"/>
  <c r="D58" i="2"/>
  <c r="B59" i="2"/>
  <c r="B68" i="2"/>
  <c r="B53" i="1" l="1"/>
  <c r="B54" i="1" s="1"/>
  <c r="B57" i="1" s="1"/>
  <c r="B58" i="1" s="1"/>
  <c r="B69" i="2"/>
</calcChain>
</file>

<file path=xl/sharedStrings.xml><?xml version="1.0" encoding="utf-8"?>
<sst xmlns="http://schemas.openxmlformats.org/spreadsheetml/2006/main" count="410" uniqueCount="313">
  <si>
    <t>Recurring Overhead — Subscriptions &amp; Monthly Costs</t>
  </si>
  <si>
    <t>Blue = editable input. Black = calculated. Yellow = key assumption to review. Placeholder £0 values below — fill in once tools are actually chosen (design software/font licences, bookkeeping software — per chat, both are expected to be paid). Standing preference: search current UK pricing before finalising any of these, don't rely on training data.</t>
  </si>
  <si>
    <t>MONTHLY SUBSCRIPTIONS</t>
  </si>
  <si>
    <t>Item</t>
  </si>
  <si>
    <t>Cost (£/month)</t>
  </si>
  <si>
    <t>Category</t>
  </si>
  <si>
    <t>Notes</t>
  </si>
  <si>
    <t>Midjourney </t>
  </si>
  <si>
    <t>Design</t>
  </si>
  <si>
    <t>Placeholder — not yet chosen (per chat, July 2026). Separate from Midjourney, already costed per-design-set in the Business Plan; add it here too if it becomes an ongoing monthly subscription.</t>
  </si>
  <si>
    <t>lovart</t>
  </si>
  <si>
    <t>Placeholder — for any paid/commercial-use fonts beyond free/open-license options.</t>
  </si>
  <si>
    <t>Bookkeeping / accounting software</t>
  </si>
  <si>
    <t>Admin</t>
  </si>
  <si>
    <t>Placeholder — decided to use paid software (per chat), specific tool not yet chosen.</t>
  </si>
  <si>
    <t>Other subscription (e.g. seller tools, cloud storage)</t>
  </si>
  <si>
    <t>Add any other recurring monthly tool here — extend this list with more rows as needed, keep them inside the SUM range below.</t>
  </si>
  <si>
    <t>MONTHLY OVERHEAD SUBTOTAL</t>
  </si>
  <si>
    <t>MONTHLY VOLUME SCENARIOS (pre-launch — no sales history yet)</t>
  </si>
  <si>
    <t>No orders yet, so these are three structured estimates rather than one guess: a comparable/benchmark figure, a target anchored to your own break-even goal, and a production-capacity ceiling — a bottom-up/top-down/proxy approach commonly recommended for pre-launch forecasting (source: Glencoyne, 'Sales Forecasting Without Historical Data', 2025). Comparable figures below from salesdoe.com's analysis of 797 Etsy shops (2025), Etsy Community Forum seller reports, and TechPenny 'When To Expect First Sale On Etsy' (2023) — accessed July 2026.</t>
  </si>
  <si>
    <t>Scenario</t>
  </si>
  <si>
    <t>Monthly Volume (stickers)</t>
  </si>
  <si>
    <t>Basis</t>
  </si>
  <si>
    <t>Notes / Source</t>
  </si>
  <si>
    <t>Conservative</t>
  </si>
  <si>
    <t>New-shop comparable benchmark</t>
  </si>
  <si>
    <t>Seller community reports commonly cite roughly 3–10 sales in a new shop's first month; a study of 797 Etsy shops found ~16 sales/month typical for a 'middling' shop after a full year. 10/month is a placeholder mid-point — edit if you have a firmer view.</t>
  </si>
  <si>
    <t>Base / Target</t>
  </si>
  <si>
    <t>Anchored to your own break-even goal</t>
  </si>
  <si>
    <t>Business Plan Section 9 break-even range is 145–360 total sales (bundled vs single-item); Section 12 Phase 1 targets hitting that within 3–6 months — implies roughly 24–60 sales/month. 40/month is the placeholder mid-point; edit to your actual target. Deliberately a manual figure, not pulled live from the Break-Even Calculator, to avoid a circular reference (that calculator itself depends on the overhead figure this scenario feeds).</t>
  </si>
  <si>
    <t>Optimistic / Capacity ceiling</t>
  </si>
  <si>
    <t>Production capacity, not demand</t>
  </si>
  <si>
    <t>What you COULD produce, not necessarily what you will sell — see the capacity calculation just below. Treat as an upper bound, not a forecast.</t>
  </si>
  <si>
    <t>Hours/week available for production (your input)</t>
  </si>
  <si>
    <t>Not yet known — set this to see your realistic capacity ceiling. Left at 0 as a placeholder.</t>
  </si>
  <si>
    <t>→ Capacity-based monthly volume (stickers)</t>
  </si>
  <si>
    <t>Hours/week × 4.33 weeks/month ÷ (45 min ÷ 60) × 20 stickers/batch, using the faster end of the 45–70 min/20-sticker batch estimate in Business Plan Section 10 (production workflow) — the manual trim/round/nick cutting steps for bin stickers haven’t been timed at real volume yet, so treat this as optimistic.</t>
  </si>
  <si>
    <t>OVERHEAD COST PER STICKER BY SCENARIO</t>
  </si>
  <si>
    <t>Overhead Cost / Sticker (£)</t>
  </si>
  <si>
    <t>ACTIVE SCENARIO (used in Bin Stickers sheet &amp; Break-Even Calculator)</t>
  </si>
  <si>
    <t>Active scenario</t>
  </si>
  <si>
    <t>Dropdown — pick Conservative, Base / Target, or Optimistic / Capacity ceiling. Defaults to Conservative: pricing against the low estimate means you stay covered even if early volume is slow; switch it once you have a few months of real data.</t>
  </si>
  <si>
    <t>→ Active monthly volume (stickers)</t>
  </si>
  <si>
    <t>→ Active overhead cost per sticker (£)</t>
  </si>
  <si>
    <t>Tier 1 Equipment Costs — Sticker Side Hustle</t>
  </si>
  <si>
    <t>Prices checked July 2026 (GBP). Blue = editable input. Black = calculated.</t>
  </si>
  <si>
    <t>Low (£)</t>
  </si>
  <si>
    <t>Epson EcoTank ET-3950 (pigment-ink printer, current gen)</t>
  </si>
  <si>
    <t>Core</t>
  </si>
  <si>
    <t>Pigment black ink for waterproof prints</t>
  </si>
  <si>
    <t>Printable vinyl sticker paper (starter pack)</t>
  </si>
  <si>
    <t>A4 waterproof printable vinyl</t>
  </si>
  <si>
    <t>moved to r&amp;d</t>
  </si>
  <si>
    <t>Self-adhesive laminate sheets + squeegee</t>
  </si>
  <si>
    <t>Cold lamination sheets, feeds through laminator</t>
  </si>
  <si>
    <t>Manual cold roll laminator (VEVOR, A4 width min.)</t>
  </si>
  <si>
    <t>Promoted from optional — removes bubble/wrinkle risk vs hand-applying</t>
  </si>
  <si>
    <t>Stickiply </t>
  </si>
  <si>
    <t>Backup Epson 101/102 ink bottles</t>
  </si>
  <si>
    <t>UK naming (not '502' — that's US)</t>
  </si>
  <si>
    <t>A4 guillotine/paper trimmer (metal-base)</t>
  </si>
  <si>
    <t>Straight-cuts the A4 sheet into 4 bin stickers (and thank-you cards to A6) — replaces Cricut Print Then Cut for this product, see Equipment Guide</t>
  </si>
  <si>
    <t>Corner rounder punch (3-in-1)</t>
  </si>
  <si>
    <t>Rounds bin sticker corners — test on laminated vinyl before bulk buying, see Material Test Plan addendum</t>
  </si>
  <si>
    <t>Slice 00200/00100 safety cutter</t>
  </si>
  <si>
    <t>Manual peel-start nick through vinyl + laminate without cutting the backing</t>
  </si>
  <si>
    <t>Self-Healing Cutting Mat (A4)</t>
  </si>
  <si>
    <t>CORE SUBTOTAL (required to start)</t>
  </si>
  <si>
    <t>Optional Equipment (not required to launch)</t>
  </si>
  <si>
    <t>Cricut Access Standard subscription (annual)</t>
  </si>
  <si>
    <t>Optional</t>
  </si>
  <si>
    <t>~$9.99/mo; not needed for custom text/number designs — free tier covers your use case</t>
  </si>
  <si>
    <t>Cricut Explore 5 Essential Bundle (alternative to buying machine + materials separately)</t>
  </si>
  <si>
    <t>Optional (alt. path)</t>
  </si>
  <si>
    <t>Machine + Smart Vinyl/Iron-On/Cardstock/Printable Vinyl bundled — compare to buying items individually before choosing</t>
  </si>
  <si>
    <t>Cricut Printable Waterproof Sticker Set – A4, 6ct (alternative vinyl+laminate source)</t>
  </si>
  <si>
    <t>Matched vinyl+laminate pair per set, waterproof/UV-resistant 2yrs — alternative to sourcing vinyl and laminate separately above</t>
  </si>
  <si>
    <t>Cricut Explore 5 (cutting machine, current gen)</t>
  </si>
  <si>
    <t>Print-Then-Cut vinyl cutter</t>
  </si>
  <si>
    <t>OPTIONAL SUBTOTAL (Access subscription only — bundle/Cricut-set are alt. paths, not additive)</t>
  </si>
  <si>
    <t>TOTAL — Core + Cricut Access (recommended launch budget)</t>
  </si>
  <si>
    <t>Note: the Essential Bundle and the Cricut Printable Waterproof Sticker Set are alternative purchase</t>
  </si>
  <si>
    <t>paths — don't add them on top of the Core items above, they replace several of them.</t>
  </si>
  <si>
    <t>R&amp;D / Testing Materials (one-off, sunk cost — see Bin-Sticker-Material-Test-Plan.md)</t>
  </si>
  <si>
    <t>count</t>
  </si>
  <si>
    <t>Matte Self-Adhesive Laminate | Pro UV × 1</t>
  </si>
  <si>
    <t xml:space="preserve">Stickiply </t>
  </si>
  <si>
    <t>Printable Vinyl Sticker Paper | Clear (A4) × 1</t>
  </si>
  <si>
    <t>R&amp;D</t>
  </si>
  <si>
    <t>One-off purchase of all 4 packaging candidates for side-by-side comparison. See Bin-Sticker-Shipping-Plan.md 'Testing shopping list' (~£33–35 total as pinned there — update once actually spent).</t>
  </si>
  <si>
    <t>Printable Vinyl Sticker Paper | Glossy (A4) × 1</t>
  </si>
  <si>
    <t>2nd Class postage for the 4 test parcels in Test 6. See Bin-Sticker-Shipping-Plan.md.</t>
  </si>
  <si>
    <t>Brown Kraft Card, A4 Card 250GSM Thick Kraft Card Stock for Cards Making, Scrapbook, Office Printing and Arts or Crafts DIY (25 Sheets)</t>
  </si>
  <si>
    <t>amazon</t>
  </si>
  <si>
    <t>Double Dragon 50-Pack A6 C6 Manilla Hard Board Backed Envelopes | 162mm x 114mm | 'Please Do Not Bend' Printed | Padded &amp; Tamper-Proof | Self-Seal Closure</t>
  </si>
  <si>
    <t>White Card, A4 Card 250GSM Thick Card Stock for Cards Making, Scrapbook, Office Printing and Arts or Crafts DIY (25 Sheets)</t>
  </si>
  <si>
    <t>SmithPackaging A4 Self Adhesive Address Labels, 1 Label Per Sheet, 100 Sheets, 199.6 x 289.1mm, 100 Labels</t>
  </si>
  <si>
    <t>40 Sheets of Acid Free Tissue Paper Cool White MG 17gsm Clothing Storage Gift Wrapping Decorative Sketch and Cutting Large Tissue Paper for Art Craft and Packing - 500mm x 750mm</t>
  </si>
  <si>
    <t>Triplast White Bubble Padded Envelopes - Pick Qty &amp; Size: 10 x 1/A (100x165mm) A6 Envelopes - Large Letter Postal Bags with Bubble Wrap Lining and Peel &amp; Seal Strip for Royal Mail Shipping &amp; Postage</t>
  </si>
  <si>
    <t>AKAR White A6/C6 Large Letter Postal Box - 112x163x20 mm - Letterbox Pip Royal Mail Small Boxes for Posting [Pack of 50]</t>
  </si>
  <si>
    <t>Printable Waterproof Sticker Set – A4 (20 ct), White</t>
  </si>
  <si>
    <t>cricut</t>
  </si>
  <si>
    <t>Shipping</t>
  </si>
  <si>
    <t>Printable Waterproof Sticker Set – A4 (20 ct), Transparent</t>
  </si>
  <si>
    <t>R&amp;D SUBTOTAL</t>
  </si>
  <si>
    <t>TOTAL SUNK STARTUP COST (Core Equipment + R&amp;D Materials)</t>
  </si>
  <si>
    <t>Excludes Optional items (Cricut Access/Explore bundle/alt. vinyl set) — those are alternative purchase paths, not required to launch, consistent with the OPTIONAL SUBTOTAL note above. Feeds the Break-Even Calculator below.</t>
  </si>
  <si>
    <t>BREAK-EVEN CALCULATOR</t>
  </si>
  <si>
    <t>Live model — change the sale price or pull in updated figures from the other sheets and this recalculates automatically.</t>
  </si>
  <si>
    <t>Sale price per pack (4 stickers) (£)</t>
  </si>
  <si>
    <t>Matches Business Plan Section 6 default single-item eBay/site sale price (£6.00/pack). Edit if your real price differs.</t>
  </si>
  <si>
    <t>Total landed cost per pack, incl. overhead (£)</t>
  </si>
  <si>
    <t>Pulled from the Bin Stickers sheet — materials + packaging + shipping + label + thank-you card + recurring overhead per pack.</t>
  </si>
  <si>
    <t>→ Profit per pack (£)</t>
  </si>
  <si>
    <t>Total sunk startup cost (from above)</t>
  </si>
  <si>
    <t>→ Packs needed to break even</t>
  </si>
  <si>
    <t>→ Individual stickers needed to break even</t>
  </si>
  <si>
    <t>If Profit per pack is zero or negative, both break-even figures show N/A — the sale price does not cover the fully-loaded cost, so this is a signal to revisit pricing before the volume figures mean anything.</t>
  </si>
  <si>
    <t>Bin Stickers — 100×140mm, 4-Pack (1 A4 sheet) — Cost Breakdown</t>
  </si>
  <si>
    <t>Blue = editable input. Black = calculated. Yellow highlight = key assumption to review. Prices checked July 2026 (GBP).</t>
  </si>
  <si>
    <t>PRODUCT SPEC</t>
  </si>
  <si>
    <t>Value</t>
  </si>
  <si>
    <t>Sticker size (mm)</t>
  </si>
  <si>
    <t>100 x 140</t>
  </si>
  <si>
    <t>Reduced from 150mm to fit 4-up on a single A4 sheet with cutting margin (mathematical max for 2x2 grid is 105x148.5mm = A6; trimmed further to leave a clean guillotine-cut margin (cutting method updated July 2026 — see Business Plan Section 10; no longer uses Cricut Print Then Cut for this product)). Matches the reference listing's overall concept, just resized to fit one page. Note (Aug 2026): the landscape 140x100mm line (D01-D03) has identical area to this 100x140mm portrait sheet, so it fits 4-up on one A4 page the same way and this sheet's materials cost figures (rows 12-18) apply unchanged -- no separate cost row added for it. See Bin-Sticker-Shipping-Plan.md for the packaging question, which does differ by shape.</t>
  </si>
  <si>
    <t>Stickers per pack</t>
  </si>
  <si>
    <t>Standard pack size in this category</t>
  </si>
  <si>
    <t>A4 pages needed per pack</t>
  </si>
  <si>
    <t>Updated: at 100x140mm, all 4 stickers fit on a single A4 sheet (2x2 grid, ~8-8.5mm margin around each). No longer needs 2 sheets — this halves the materials cost per pack vs the original 150mm-tall version.</t>
  </si>
  <si>
    <t>MATERIALS COST (per A4 page)</t>
  </si>
  <si>
    <t>Cost (£)</t>
  </si>
  <si>
    <t>Vinyl (printable, per A4 sheet)</t>
  </si>
  <si>
    <t>Carried over from Tier 1 vinyl pack assumption (~£10–15 / 30 sheets) | Bulk source option: Stickiply (UK) glossy vinyl A4 — ~£0.59/sheet (10-pack) down to ~£0.32/sheet (500-pack). See Equipment Guide.</t>
  </si>
  <si>
    <t>Laminate (cold, per A4 sheet)</t>
  </si>
  <si>
    <t>Carried over from Tier 1 self-adhesive laminate assumption | Bulk source option: Stickiply (UK) matte self-adhesive laminate A4 — ~£0.55/sheet (10-pack) down to ~£0.23/sheet (500-pack). See Equipment Guide.</t>
  </si>
  <si>
    <t>Ink (colour, per A4 page)</t>
  </si>
  <si>
    <t>Rough placeholder — EcoTank's own ISO-standard colour cost is under 1p/page at 5% ink coverage, but bold number/text designs use noticeably more ink than that test pattern. £0.03–0.10 is a reasonable range depending on design density; refine once you print real designs and can measure bottle depletion.</t>
  </si>
  <si>
    <t>Subtotal: cost per A4 page (vinyl + laminate + ink)</t>
  </si>
  <si>
    <t>Pages per pack (from Product Spec above)</t>
  </si>
  <si>
    <t>MATERIALS COST PER PACK (4 stickers)</t>
  </si>
  <si>
    <t>PACKAGING OPTIONS (from Test 6 — see Bin-Sticker-Material-Test-Plan.md)</t>
  </si>
  <si>
    <t>Option</t>
  </si>
  <si>
    <t>Cost/pack (£)</t>
  </si>
  <si>
    <t>Kraft envelope + tissue (flat wrap)</t>
  </si>
  <si>
    <t>Cheapest, lowest transit protection — sheet can flex/crease in a stuffed mailbag. Materials: C6 kraft envelope (~£6-7/50, Amazon UK) + tissue offcut. Packed thickness &lt;1mm — qualifies for Royal Mail Letter rate, not just Large Letter. Matches what most Etsy bin-sticker/decal sellers use as default (see Competitor Research).</t>
  </si>
  <si>
    <t>Kraft envelope + rigid backing card (no padding)</t>
  </si>
  <si>
    <t>Same envelope as above, tissue swapped for a rigid cardstock backing card (made in-house from offcuts, near-zero marginal cost per Business Plan Section 7). Resists bending/creasing without adding real thickness (~0.5mm) — the one candidate that might combine Letter-rate postage with better-than-plain-wrap protection. No cushioning against knocks/crushing, unlike a padded mailer or box.</t>
  </si>
  <si>
    <t>Padded mailer (Mail Lite A/000, 110×160mm)</t>
  </si>
  <si>
    <t>Cushions knocks in transit, stays flat and cheap to post. ~£11.66/100 (~5g each), confirmed by supplier as Royal Mail Large Letter sized. Packed thickness ~5-10mm — the padding itself rules out the Letter rate; no genuinely thin padded/bubble mailer exists that fits under 5mm.</t>
  </si>
  <si>
    <t>C6 box (163×112×20mm, rigid)</t>
  </si>
  <si>
    <t>Best transit protection and strongest 'unboxing' presentation — matches the gift-feel packaging described in Business Plan Section 7. £6.54-6.89/50 (Forms Plus). 20mm depth stays under the 25mm Royal Mail Large Letter thickness limit, but is well over the 5mm Letter limit.</t>
  </si>
  <si>
    <t>Selected packaging option (pending Test 6 results)</t>
  </si>
  <si>
    <t>Placeholder default = cheapest option. Update this cell once the post-to-self + drop/flex test (Test 6) results are in — swap in whichever text exactly matches one of the four option labels above (A22:A25).</t>
  </si>
  <si>
    <t>→ Packaging cost per pack (pulled from selection above)</t>
  </si>
  <si>
    <t>TOTAL COST PER PACK (materials + packaging, excl. shipping)</t>
  </si>
  <si>
    <t>Cost per individual sticker (excl. shipping)</t>
  </si>
  <si>
    <t>THANK-YOU CARD (per pack — 1 card included per order; see Business Plan Section 7 &amp; chat history for card design)</t>
  </si>
  <si>
    <t>Cardstock (per card — 1/4 of an A4 250gsm sheet, white or kraft)</t>
  </si>
  <si>
    <t>A4 250gsm cardstock ~£0.08/sheet ÷ 4 cards (A6 size, exactly 1/4 of A4, cut with the guillotine) = £0.02/card. Kraft cardstock runs higher (~£0.15-0.30/sheet ÷ 4 ≈ £0.04-0.08/card) — this figure uses the white/cream cardstock estimate; edit this cell if you settle on kraft instead.</t>
  </si>
  <si>
    <t>Ink (light coverage — flower motif + text, much lighter than a full sticker print)</t>
  </si>
  <si>
    <t>Printed via the same Epson EcoTank printer/ink used for stickers — light line-art + text coverage, well under the ~£0.05/page ink assumption used for the dense sticker designs above (row 14).</t>
  </si>
  <si>
    <t>Subtotal: thank-you card cost per pack</t>
  </si>
  <si>
    <t>Total</t>
  </si>
  <si>
    <t>SHIPPING — Royal Mail estimated prices (checked July 2026)</t>
  </si>
  <si>
    <t>Service</t>
  </si>
  <si>
    <t>Price (£)</t>
  </si>
  <si>
    <t>2nd Class Standard (untracked) — Letter, up to 100g</t>
  </si>
  <si>
    <t>Sources show ~85-91p for the current rate — confirm the exact figure in Click &amp; Drop at checkout; £0.88 used here as a midpoint placeholder. Only available if the packed item is under 240x165x5mm and 100g — realistically only the flat-wrap and backing-card packaging options qualify (see Packaging Options above).</t>
  </si>
  <si>
    <t>2nd Class Standard (untracked) — Large Letter, up to 100g</t>
  </si>
  <si>
    <t>Default/standard tier per Business Plan Section 8 — typically absorbed into item price, not charged separately at checkout. The only option available for the padded mailer and box candidates, since their thickness rules out the Letter rate.</t>
  </si>
  <si>
    <t>2nd Class (untracked) — Large Letter, up to 250g</t>
  </si>
  <si>
    <t>Applies if the packed 4-pack + packaging crosses the 100g threshold — confirm on a kitchen scale.</t>
  </si>
  <si>
    <t>Tracked 48 — Large Letter</t>
  </si>
  <si>
    <t>Optional paid upgrade (+£1.50-2.00 over standard per Business Plan Section 8).</t>
  </si>
  <si>
    <t>Tracked 24 — Large Letter</t>
  </si>
  <si>
    <t>Optional paid upgrade (+£3.00). 'Aims for' next working day — not a guarantee.</t>
  </si>
  <si>
    <t>Special Delivery Guaranteed by 1pm</t>
  </si>
  <si>
    <t>For bundled/high-value orders (£20+) only, per Business Plan Section 8 — not the standard single-pack tier.</t>
  </si>
  <si>
    <t>Selected shipping tier (for landed cost below)</t>
  </si>
  <si>
    <t>Must exactly match one of the six service labels above (A35:A40). Switch to the Letter-rate row once Test 6 confirms your chosen packaging measures under 5mm/100g.</t>
  </si>
  <si>
    <t>→ Shipping cost per pack (pulled from selection above)</t>
  </si>
  <si>
    <t>SHIPPING LABEL — address sticker (Click &amp; Drop)</t>
  </si>
  <si>
    <t>A4 sticker label sheet pack — price (£)</t>
  </si>
  <si>
    <t>Avery J8160 QuickDRY, 63.5x38.1mm, 21 labels/sheet, 25-sheet pack — avery.co.uk, checked July 2026. Cheaper own-brand packs (~£7-10/25 sheets) exist too; swap this in if you go that route.</t>
  </si>
  <si>
    <t>Sheets per pack</t>
  </si>
  <si>
    <t>→ Price per A4 sheet</t>
  </si>
  <si>
    <t>Labels printed per sheet (batch assumption)</t>
  </si>
  <si>
    <t>Assumes you batch 3 shipments' worth of labels onto one sheet before cutting (Click &amp; Drop '3+ per A4' style batching), rather than 1 label per sheet. Sheet has 21 slots total - this treats the other 18 as unused/wasted per batch, which is the conservative per-shipment cost. Increase this number if you routinely batch more orders together. Cheaper default at low volume: plain A4 paper + tape/glue stick (~1-2p/shipment), officially supported by Royal Mail.</t>
  </si>
  <si>
    <t>→ Cost per address label (sheet price ÷ labels used)</t>
  </si>
  <si>
    <t>TOTAL LANDED COST PER PACK (materials + packaging + shipping + label + thank-you card)</t>
  </si>
  <si>
    <t>Cost per individual sticker (all-in incl. shipping + label)</t>
  </si>
  <si>
    <t>Shipping (postage) is typically absorbed into the item's list price rather than charged separately at checkout (standard/free-shipping is the competitor norm - see Business Plan Section 8), so the TOTAL LANDED COST row above represents your true all-in cost basis for pricing decisions, not necessarily a line the customer sees itemised. Change 'Selected packaging option' (B27) or 'Selected shipping tier' (B47) to re-model - e.g. once Test 6 confirms the backing-card option stays under 5mm/100g, switch B47 to the Letter-rate row for the biggest cost saving. The thank-you card subtotal (B36) is a fixed per-pack cost regardless of packaging/shipping choice.</t>
  </si>
  <si>
    <t>RECURRING OVERHEAD PER UNIT (from 'Recurring Overhead' sheet)</t>
  </si>
  <si>
    <t>Overhead cost per sticker (£)</t>
  </si>
  <si>
    <t>Live link to the Recurring Overhead sheet's ACTIVE SCENARIO figure (subscriptions ÷ chosen scenario's monthly volume). Defaults to the Conservative scenario — change the dropdown on that sheet to switch which scenario feeds this and the Break-Even Calculator.</t>
  </si>
  <si>
    <t>Overhead cost per pack (4 stickers) (£)</t>
  </si>
  <si>
    <t>TOTAL LANDED COST PER PACK, INCL. OVERHEAD (£)</t>
  </si>
  <si>
    <t>Cost per individual sticker, incl. overhead (£)</t>
  </si>
  <si>
    <t>This is now the true floor price to plan pricing around — B58/B59 above (unchanged, still used elsewhere) exclude recurring overhead entirely. The Break-Even Calculator on the Tier 1 Equipment Costs sheet pulls from B68 on this row, not from B58.</t>
  </si>
  <si>
    <t>full year</t>
  </si>
  <si>
    <t>item</t>
  </si>
  <si>
    <t>cost</t>
  </si>
  <si>
    <t>shipping</t>
  </si>
  <si>
    <t>total per item</t>
  </si>
  <si>
    <t>Stickiply</t>
  </si>
  <si>
    <t>white vinyl</t>
  </si>
  <si>
    <t>clear vinyl</t>
  </si>
  <si>
    <t>lamination</t>
  </si>
  <si>
    <t>Cricut</t>
  </si>
  <si>
    <t>total</t>
  </si>
  <si>
    <t>per item</t>
  </si>
  <si>
    <t>diff</t>
  </si>
  <si>
    <t>EBAY MARKETING — PROMOTED LISTINGS &amp; FEE STACK (added Aug 2026)</t>
  </si>
  <si>
    <t>Ad spend is a VARIABLE cost (scales with price × volume), unlike the fixed monthly subscriptions above — deliberately kept as its own block rather than folded into the MONTHLY OVERHEAD SUBTOTAL (B11), since mixing a %-of-price cost into that flat per-sticker allocation would distort it whenever price changes. See chat for full research: ad-rate benchmarks, eBay's own suggested rates vs independent guidance, and how this stacks with Final Value Fee / per-order fee / regulatory fee. FLAG: price input below (£3.00) is a placeholder mid-point of the user-specified £2-4 'simple stickers' range (Aug 2026 chat) — this differs from the Business Plan Section 3 bin sticker range (£5-8/set) and the 'Bin Stickers 100x140 4pk' sheet (~£6/pack). Clarify whether this is a new single-sticker product tier or a per-unit breakdown of the existing set price, then reconcile across files.</t>
  </si>
  <si>
    <t>Assumed sale price per unit (£)</t>
  </si>
  <si>
    <t>Placeholder mid-point of user-specified £2-4 range — see flag above. Edit once price is locked.</t>
  </si>
  <si>
    <t>Promoted Listings ad rate (% of sale price)</t>
  </si>
  <si>
    <t>User-selected 4% (Aug 2026 chat) — independent-guidance recommended ceiling for small/new sellers. eBay's own suggested rate typically runs 8-15% and is optimised for eBay's revenue, not yours; community reports of 2-30% exist depending on category/margin. General/Standard campaign (cost-per-sale) assumed, not Priority/Advanced (cost-per-click) — right choice for a single-product launch at this volume.</t>
  </si>
  <si>
    <t>eBay Final Value Fee (business seller, standard category)</t>
  </si>
  <si>
    <t>12.8% of item price + postage, most categories, checked Aug 2026. Matches the ~13% already assumed in Business Plan Section 6, just broken out precisely here.</t>
  </si>
  <si>
    <t>eBay per-order fee (£, flat)</t>
  </si>
  <si>
    <t>30p per order under £10; rises to 40p for orders ≥£10 (changed Feb 2026 — NOT yet reflected in Business Plan Section 6 or the 4pk cost sheet, worth adding there too). At a £2-4 unit price this stays at 30p unless bundling pushes a single order over £10.</t>
  </si>
  <si>
    <t>eBay Regulatory Operating Fee (% of item price + postage)</t>
  </si>
  <si>
    <t>~0.35-0.43% UK regulatory fee, introduced April 2024, applies to all UK business sellers regardless of ad usage — also not currently broken out elsewhere in the workbook. 0.4% used as a midpoint.</t>
  </si>
  <si>
    <t>→ COST PER UNIT SOLD</t>
  </si>
  <si>
    <t>Ad spend per unit (£)</t>
  </si>
  <si>
    <t>Final Value Fee per unit (£)</t>
  </si>
  <si>
    <t>Regulatory fee per unit (£)</t>
  </si>
  <si>
    <t>TOTAL EBAY PLATFORM COST PER UNIT (FVF + per-order + regulatory + ad) (£)</t>
  </si>
  <si>
    <t>Net proceeds per unit after all eBay fees (£)</t>
  </si>
  <si>
    <t>Total eBay fees as % of sale price</t>
  </si>
  <si>
    <t>→ MONTHLY, AT ACTIVE SCENARIO VOLUME (from ACTIVE SCENARIO block above)</t>
  </si>
  <si>
    <t>Active monthly volume (stickers)</t>
  </si>
  <si>
    <t>Monthly ad spend at active volume (£)</t>
  </si>
  <si>
    <t>Monthly TOTAL eBay platform fees at active volume (£)</t>
  </si>
  <si>
    <t>Not yet wired into the per-sticker OVERHEAD figures above (B26-B33) or into the 'Bin Stickers 100x140 4pk' sheet, on purpose — it's a %-of-price cost, and that sheet models a different price point (£6/4pk) than the £2-4 range given here. Once the 'simple stickers' price/product is confirmed, this block's TOTAL EBAY PLATFORM COST PER UNIT row can be added directly into that sheet's fee/margin table, or this section's monthly ad spend can be added into B11's SUM range above if you'd rather treat it as pooled overhead — flag either way so the two stay consistent.</t>
  </si>
  <si>
    <t>Etsy — Fees &amp; Advertising (UK shop, not VAT-registered)</t>
  </si>
  <si>
    <t>Blue = editable input. Black = calculated. Companion to Etsy-Marketing-Guide.md — see that file for full context/sources. FLAG: price input below (£3.00) is a placeholder mid-point of the user-specified £2-4 'simple stickers' range — differs from Business Plan Section 3 (£5-8/set bin stickers). 'Sale price' here is treated as the TOTAL amount the buyer pays (item + any shipping charged), matching how Etsy calculates its fees.</t>
  </si>
  <si>
    <t>INPUTS</t>
  </si>
  <si>
    <t>Assumed sale price per unit, total incl. shipping (£)</t>
  </si>
  <si>
    <t>Placeholder — see flag above. Edit once price is locked.</t>
  </si>
  <si>
    <t>Listing fee per listing (£)</t>
  </si>
  <si>
    <t>~$0.20 USD converted. Charged whether or not it sells; renews every 4 months and again per sale on multi-quantity listings — this model assumes 1 listing fee per unit sold, the conservative case.</t>
  </si>
  <si>
    <t>Transaction fee rate</t>
  </si>
  <si>
    <t>6.5% of item price + shipping + gift wrap.</t>
  </si>
  <si>
    <t>Payment processing rate</t>
  </si>
  <si>
    <t>4% + fixed fee below. Etsy Payments is mandatory, no alternative processor option.</t>
  </si>
  <si>
    <t>Payment processing fixed fee (£)</t>
  </si>
  <si>
    <t>Regulatory Operating Fee rate</t>
  </si>
  <si>
    <t>0.32% of item price + shipping, UK-specific since 2022.</t>
  </si>
  <si>
    <t>VAT on Etsy fees (applies — not VAT-registered)</t>
  </si>
  <si>
    <t>20% VAT charged on ALL of Etsy's fees above when the seller isn't VAT-registered (per current business plan strategy). Set to 0% here if VAT registration status changes.</t>
  </si>
  <si>
    <t>Offsite Ads currently active? (Y/N)</t>
  </si>
  <si>
    <t>N</t>
  </si>
  <si>
    <t>Optional and should be switched OFF in Shop Manager while trailing 12-month revenue is under $10,000 USD (~£8,000) — see guide. Becomes mandatory (can't be set to N) once that threshold is crossed.</t>
  </si>
  <si>
    <t>Offsite Ads fee rate (if active)</t>
  </si>
  <si>
    <t>15% below $10k trailing revenue, 12% once mandatory at/above it.</t>
  </si>
  <si>
    <t>Etsy Ads (onsite) daily budget (£) — optional, separate CPC spend</t>
  </si>
  <si>
    <t>Minimum ~£1/day. This is a controllable CPC budget, NOT a %-of-sale fee — kept separate from the cost-per-unit maths below since it doesn't scale with units sold. Shown as a monthly figure further down.</t>
  </si>
  <si>
    <t>→ COST PER UNIT SOLD (Listing + Transaction + Payment processing + Regulatory + VAT-on-fees)</t>
  </si>
  <si>
    <t>Transaction fee (£)</t>
  </si>
  <si>
    <t>Payment processing fee (£)</t>
  </si>
  <si>
    <t>Regulatory fee (£)</t>
  </si>
  <si>
    <t>Subtotal before VAT (£)</t>
  </si>
  <si>
    <t>VAT on fees (£)</t>
  </si>
  <si>
    <t>Offsite Ads fee incl. its own VAT (£), if active</t>
  </si>
  <si>
    <t>TOTAL ETSY FEES PER UNIT (£)</t>
  </si>
  <si>
    <t>Net proceeds per unit after all Etsy fees (£)</t>
  </si>
  <si>
    <t>Total Etsy fees as % of sale price</t>
  </si>
  <si>
    <t>→ MONTHLY, AT ACTIVE SCENARIO VOLUME (from 'Recurring Overhead' sheet)</t>
  </si>
  <si>
    <t>Monthly total Etsy fees at active volume (£)</t>
  </si>
  <si>
    <t>Monthly Etsy Ads (onsite) budget, if used (£)</t>
  </si>
  <si>
    <t>Independent of units sold — a controllable CPC budget, not charged per unit.</t>
  </si>
  <si>
    <t>Not wired into the 'Recurring Overhead' sheet's fixed subscription subtotal (B11), same rationale as the eBay block there: these are %-of-price/variable costs, and mixing them into a flat £/sticker overhead figure would distort it whenever price changes. See Etsy-Marketing-Guide.md for the recommended launch approach (Offsite Ads off, small onsite Ads budget, fix listing fundamentals first).</t>
  </si>
  <si>
    <t>Amazon — Fees &amp; Advertising (UK, FBM assumed)</t>
  </si>
  <si>
    <t>Blue = editable input. Black = calculated. Companion to Amazon-Marketing-Guide.md. FLAG: same £2-4 vs £5-8 price ambiguity as the other sheets applies here — £3.00 used as a placeholder. Amazon Handmade eligibility (12.24% flat referral fee, vs standard 8-15% category fee) is NOT confirmed for laminated vinyl stickers — standard referral fee used below as the conservative default; switch the input if Handmade is confirmed eligible.</t>
  </si>
  <si>
    <t>Placeholder — see flag above.</t>
  </si>
  <si>
    <t>Referral fee rate</t>
  </si>
  <si>
    <t>8-15% typical range by category; 15% (top of range) used as the conservative default. Confirm actual category rate before launch — check Amazon Handmade (12.24% flat) eligibility too.</t>
  </si>
  <si>
    <t>Minimum referral fee (£)</t>
  </si>
  <si>
    <t>Applies regardless of price — matters at £2-4 unit prices since the percentage-based fee may fall below this floor.</t>
  </si>
  <si>
    <t>Digital Services Tax pass-through rate</t>
  </si>
  <si>
    <t>Applied on top of the referral fee for UK-established sellers.</t>
  </si>
  <si>
    <t>Using Professional account? (Y/N)</t>
  </si>
  <si>
    <t>Required for Sponsored Products (PPC) access, Buy Box eligibility, and new listing creation. Guide recommends holding off until volume/margin justify the flat monthly cost. Set to 'Y' once committed.</t>
  </si>
  <si>
    <t>Professional account monthly fee (£)</t>
  </si>
  <si>
    <t>Individual account per-item fee (£, if not Professional)</t>
  </si>
  <si>
    <t>Sponsored Products target ACoS (launch phase)</t>
  </si>
  <si>
    <t>30-40%+ is normal/accepted during a launch phase per general guidance; established-product benchmarks run 15-25%. Only relevant if Professional account + Sponsored Products are actually turned on.</t>
  </si>
  <si>
    <t>→ COST PER UNIT SOLD (selling fees only, before advertising)</t>
  </si>
  <si>
    <t>Referral fee, greater of rate or minimum (£)</t>
  </si>
  <si>
    <t>Referral fee incl. DST pass-through (£)</t>
  </si>
  <si>
    <t>Account fee per unit — Individual only (£)</t>
  </si>
  <si>
    <t>Professional's £25/mo is a flat monthly cost, not per-unit — shown separately below.</t>
  </si>
  <si>
    <t>TOTAL SELLING FEES PER UNIT (£)</t>
  </si>
  <si>
    <t>Net proceeds per unit after selling fees, before advertising (£)</t>
  </si>
  <si>
    <t>Total selling fees as % of sale price</t>
  </si>
  <si>
    <t>→ MONTHLY, AT ACTIVE SCENARIO VOLUME</t>
  </si>
  <si>
    <t>Monthly total selling fees at active volume (£)</t>
  </si>
  <si>
    <t>Monthly Professional account fee, if used (£)</t>
  </si>
  <si>
    <t>Estimated monthly Sponsored Products spend, if Professional + advertising used (£)</t>
  </si>
  <si>
    <t>Approximation: ACoS × assumed monthly revenue, treating all volume as ad-attributed — a simplification, real ad-attributed revenue will be a subset of total sales. CPC spend is NOT cost-per-sale, so this is charged whether or not those specific clicks convert.</t>
  </si>
  <si>
    <t>Not wired into the 'Recurring Overhead' sheet's fixed subscription subtotal (B11) — same rationale as the eBay and Etsy blocks: variable/%-of-price costs kept separate from the flat £/sticker overhead allocation. Guide recommends holding Professional account + Sponsored Products off until Amazon volume and margin are established via eBay/Etsy first — the Y/N toggles above default to 'off' accordingly.</t>
  </si>
  <si>
    <t>stikly clear</t>
  </si>
  <si>
    <t>gmail account</t>
  </si>
  <si>
    <t>domain</t>
  </si>
  <si>
    <t>210 x 297mm Rectangle, Avery Blank Labels | Avery</t>
  </si>
  <si>
    <t>virtual office</t>
  </si>
  <si>
    <t>https://cricut.com/en-gb/cutting-machines/cricut-joy/cricut-joy-xtra</t>
  </si>
  <si>
    <t>lamp</t>
  </si>
  <si>
    <t>bin</t>
  </si>
  <si>
    <t>tools</t>
  </si>
  <si>
    <t>Desktop File Holder A4 Paper Storage Letter Tray Office Document Sort Organiser | eBay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</si>
</sst>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
    <numFmt numFmtId="166" formatCode="0.0%"/>
    <numFmt numFmtId="167" formatCode="#,##0.00000000000000"/>
    <numFmt numFmtId="168" formatCode="#,##0.000"/>
  </numFmts>
  <fonts count="34" x14ac:knownFonts="1">
    <font>
      <sz val="11"/>
      <color theme="1"/>
      <name val="Calibri"/>
      <family val="2"/>
      <charset val="1"/>
    </font>
    <font>
      <b/>
      <sz val="14"/>
      <color rgb="FF1F3864"/>
      <name val="Arial"/>
      <charset val="1"/>
    </font>
    <font>
      <i/>
      <sz val="9"/>
      <color rgb="FF666666"/>
      <name val="Arial"/>
      <charset val="1"/>
    </font>
    <font>
      <b/>
      <sz val="11"/>
      <color rgb="FFFFFFFF"/>
      <name val="Arial"/>
      <charset val="1"/>
    </font>
    <font>
      <sz val="11"/>
      <color rgb="FF000000"/>
      <name val="Arial"/>
      <charset val="1"/>
    </font>
    <font>
      <sz val="11"/>
      <color rgb="FF0000FF"/>
      <name val="Arial"/>
      <charset val="1"/>
    </font>
    <font>
      <b/>
      <sz val="11"/>
      <color rgb="FF000000"/>
      <name val="Arial"/>
      <charset val="1"/>
    </font>
    <font>
      <b/>
      <sz val="11"/>
      <color rgb="FF1F3864"/>
      <name val="Arial"/>
      <charset val="1"/>
    </font>
    <font>
      <b/>
      <sz val="12"/>
      <color rgb="FFFFFFFF"/>
      <name val="Arial"/>
      <charset val="1"/>
    </font>
    <font>
      <b/>
      <sz val="12"/>
      <color rgb="FF1F3864"/>
      <name val="Arial"/>
      <charset val="1"/>
    </font>
    <font>
      <sz val="11"/>
      <color rgb="FF008000"/>
      <name val="Arial"/>
      <charset val="1"/>
    </font>
    <font>
      <b/>
      <sz val="13"/>
      <color rgb="FF1F3864"/>
      <name val="Calibri"/>
      <charset val="1"/>
    </font>
    <font>
      <sz val="11"/>
      <color rgb="FF666666"/>
      <name val="Calibri"/>
      <charset val="1"/>
    </font>
    <font>
      <b/>
      <sz val="11"/>
      <color rgb="FF1F3864"/>
      <name val="Calibri"/>
      <charset val="1"/>
    </font>
    <font>
      <b/>
      <sz val="11"/>
      <color rgb="FFFFFFFF"/>
      <name val="Calibri"/>
      <charset val="1"/>
    </font>
    <font>
      <sz val="11"/>
      <color rgb="FF0000FF"/>
      <name val="Calibri"/>
      <charset val="1"/>
    </font>
    <font>
      <b/>
      <sz val="11"/>
      <color rgb="FF000000"/>
      <name val="Calibri"/>
      <charset val="1"/>
    </font>
    <font>
      <sz val="11"/>
      <color rgb="FF000000"/>
      <name val="Calibri"/>
      <charset val="1"/>
    </font>
    <font>
      <sz val="11"/>
      <name val="Calibri"/>
      <charset val="1"/>
    </font>
    <font>
      <b/>
      <sz val="11"/>
      <name val="Calibri"/>
      <charset val="1"/>
    </font>
    <font>
      <sz val="11"/>
      <color rgb="FF008000"/>
      <name val="Calibri"/>
      <charset val="1"/>
    </font>
    <font>
      <i/>
      <sz val="9"/>
      <color rgb="FF666666"/>
      <name val="Calibri"/>
      <charset val="1"/>
    </font>
    <font>
      <b/>
      <sz val="13.5"/>
      <color rgb="FF1F1F1F"/>
      <name val="Arial"/>
      <family val="2"/>
    </font>
    <font>
      <sz val="10"/>
      <color rgb="FF555555"/>
      <name val="Segoe UI"/>
      <family val="2"/>
    </font>
    <font>
      <sz val="10"/>
      <color rgb="FF555555"/>
      <name val="Segoe UI"/>
      <family val="2"/>
    </font>
    <font>
      <u/>
      <sz val="11"/>
      <color theme="10"/>
      <name val="Calibri"/>
      <family val="2"/>
      <charset val="1"/>
    </font>
    <font>
      <sz val="13"/>
      <color rgb="FF1F1F1F"/>
      <name val="Arial"/>
      <family val="2"/>
    </font>
    <font>
      <sz val="11"/>
      <color rgb="FF000000"/>
      <name val="Arial"/>
      <family val="2"/>
    </font>
    <font>
      <b/>
      <sz val="11"/>
      <color rgb="FF1F3864"/>
      <name val="Cambria"/>
      <charset val="1"/>
    </font>
    <font>
      <i/>
      <sz val="10"/>
      <color rgb="FF666666"/>
      <name val="Cambria"/>
      <charset val="1"/>
    </font>
    <font>
      <b/>
      <sz val="11"/>
      <color rgb="FFFFFFFF"/>
      <name val="Cambria"/>
      <charset val="1"/>
    </font>
    <font>
      <sz val="11"/>
      <color rgb="FF000000"/>
      <name val="Cambria"/>
      <charset val="1"/>
    </font>
    <font>
      <sz val="11"/>
      <color rgb="FF0000FF"/>
      <name val="Cambria"/>
      <charset val="1"/>
    </font>
    <font>
      <b/>
      <sz val="14"/>
      <color rgb="FF1F3864"/>
      <name val="Cambria"/>
      <charset val="1"/>
    </font>
  </fonts>
  <fills count="7">
    <fill>
      <patternFill patternType="none"/>
    </fill>
    <fill>
      <patternFill patternType="gray125"/>
    </fill>
    <fill>
      <patternFill patternType="solid">
        <fgColor rgb="FF1F3864"/>
        <bgColor rgb="FF333333"/>
      </patternFill>
    </fill>
    <fill>
      <patternFill patternType="solid">
        <fgColor rgb="FFDCE6F1"/>
        <bgColor rgb="FFCCFFFF"/>
      </patternFill>
    </fill>
    <fill>
      <patternFill patternType="solid">
        <fgColor rgb="FFFFFF00"/>
        <bgColor rgb="FFFFFF00"/>
      </patternFill>
    </fill>
    <fill>
      <patternFill patternType="solid">
        <fgColor rgb="FFFFFF00"/>
        <bgColor indexed="64"/>
      </patternFill>
    </fill>
    <fill>
      <patternFill patternType="solid">
        <fgColor rgb="FF1F3864"/>
        <bgColor rgb="FF1F1F1F"/>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2">
    <xf numFmtId="0" fontId="0" fillId="0" borderId="0"/>
    <xf numFmtId="0" fontId="25" fillId="0" borderId="0"/>
  </cellStyleXfs>
  <cellXfs count="71">
    <xf numFmtId="0" fontId="0" fillId="0" borderId="0" xfId="0"/>
    <xf numFmtId="0" fontId="2" fillId="0" borderId="0" xfId="0" applyFont="1"/>
    <xf numFmtId="0" fontId="21" fillId="0" borderId="0" xfId="0" applyFont="1"/>
    <xf numFmtId="0" fontId="19"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xf numFmtId="164" fontId="5" fillId="0" borderId="1" xfId="0" applyNumberFormat="1" applyFont="1" applyBorder="1"/>
    <xf numFmtId="0" fontId="2" fillId="0" borderId="1" xfId="0" applyFont="1" applyBorder="1"/>
    <xf numFmtId="0" fontId="6" fillId="3" borderId="1" xfId="0" applyFont="1" applyFill="1" applyBorder="1"/>
    <xf numFmtId="164" fontId="6" fillId="3" borderId="1" xfId="0" applyNumberFormat="1" applyFont="1" applyFill="1" applyBorder="1"/>
    <xf numFmtId="0" fontId="0" fillId="3" borderId="1" xfId="0" applyFill="1" applyBorder="1"/>
    <xf numFmtId="0" fontId="7" fillId="0" borderId="0" xfId="0" applyFont="1"/>
    <xf numFmtId="0" fontId="8" fillId="2" borderId="1" xfId="0" applyFont="1" applyFill="1" applyBorder="1"/>
    <xf numFmtId="164" fontId="8" fillId="2" borderId="1" xfId="0" applyNumberFormat="1" applyFont="1" applyFill="1" applyBorder="1"/>
    <xf numFmtId="0" fontId="0" fillId="2" borderId="1" xfId="0" applyFill="1" applyBorder="1"/>
    <xf numFmtId="0" fontId="3" fillId="2" borderId="0" xfId="0" applyFont="1" applyFill="1"/>
    <xf numFmtId="0" fontId="4" fillId="0" borderId="0" xfId="0" applyFont="1"/>
    <xf numFmtId="164" fontId="5" fillId="0" borderId="0" xfId="0" applyNumberFormat="1" applyFont="1"/>
    <xf numFmtId="0" fontId="6" fillId="3" borderId="0" xfId="0" applyFont="1" applyFill="1"/>
    <xf numFmtId="164" fontId="6" fillId="3" borderId="0" xfId="0" applyNumberFormat="1" applyFont="1" applyFill="1"/>
    <xf numFmtId="0" fontId="8" fillId="2" borderId="0" xfId="0" applyFont="1" applyFill="1"/>
    <xf numFmtId="164" fontId="8" fillId="2" borderId="0" xfId="0" applyNumberFormat="1" applyFont="1" applyFill="1"/>
    <xf numFmtId="0" fontId="9" fillId="0" borderId="0" xfId="0" applyFont="1"/>
    <xf numFmtId="164" fontId="10" fillId="0" borderId="0" xfId="0" applyNumberFormat="1" applyFont="1"/>
    <xf numFmtId="0" fontId="6" fillId="0" borderId="0" xfId="0" applyFont="1"/>
    <xf numFmtId="164" fontId="6" fillId="0" borderId="0" xfId="0" applyNumberFormat="1" applyFont="1"/>
    <xf numFmtId="164" fontId="4" fillId="0" borderId="0" xfId="0" applyNumberFormat="1" applyFont="1"/>
    <xf numFmtId="1" fontId="6" fillId="3" borderId="0" xfId="0" applyNumberFormat="1" applyFont="1" applyFill="1"/>
    <xf numFmtId="0" fontId="11" fillId="0" borderId="0" xfId="0" applyFont="1"/>
    <xf numFmtId="0" fontId="12" fillId="0" borderId="0" xfId="0" applyFont="1"/>
    <xf numFmtId="0" fontId="13" fillId="0" borderId="0" xfId="0" applyFont="1"/>
    <xf numFmtId="0" fontId="14" fillId="2" borderId="0" xfId="0" applyFont="1" applyFill="1"/>
    <xf numFmtId="0" fontId="15" fillId="4" borderId="0" xfId="0" applyFont="1" applyFill="1"/>
    <xf numFmtId="164" fontId="15" fillId="4" borderId="0" xfId="0" applyNumberFormat="1" applyFont="1" applyFill="1"/>
    <xf numFmtId="164" fontId="16" fillId="3" borderId="0" xfId="0" applyNumberFormat="1" applyFont="1" applyFill="1"/>
    <xf numFmtId="1" fontId="17" fillId="0" borderId="0" xfId="0" applyNumberFormat="1" applyFont="1"/>
    <xf numFmtId="0" fontId="18" fillId="0" borderId="0" xfId="0" applyFont="1"/>
    <xf numFmtId="164" fontId="14" fillId="2" borderId="0" xfId="0" applyNumberFormat="1" applyFont="1" applyFill="1"/>
    <xf numFmtId="0" fontId="12" fillId="0" borderId="0" xfId="0" applyFont="1" applyAlignment="1">
      <alignment vertical="top" wrapText="1"/>
    </xf>
    <xf numFmtId="164" fontId="19" fillId="3" borderId="0" xfId="0" applyNumberFormat="1" applyFont="1" applyFill="1"/>
    <xf numFmtId="164" fontId="18" fillId="0" borderId="0" xfId="0" applyNumberFormat="1" applyFont="1"/>
    <xf numFmtId="164" fontId="18" fillId="3" borderId="0" xfId="0" applyNumberFormat="1" applyFont="1" applyFill="1"/>
    <xf numFmtId="164" fontId="20" fillId="0" borderId="0" xfId="0" applyNumberFormat="1" applyFont="1"/>
    <xf numFmtId="1" fontId="5" fillId="0" borderId="0" xfId="0" applyNumberFormat="1" applyFont="1"/>
    <xf numFmtId="1" fontId="4" fillId="0" borderId="0" xfId="0" applyNumberFormat="1" applyFont="1"/>
    <xf numFmtId="165" fontId="5" fillId="4" borderId="0" xfId="0" applyNumberFormat="1" applyFont="1" applyFill="1"/>
    <xf numFmtId="0" fontId="5" fillId="4" borderId="0" xfId="0" applyFont="1" applyFill="1"/>
    <xf numFmtId="0" fontId="22" fillId="0" borderId="0" xfId="0" applyFont="1" applyAlignment="1">
      <alignment horizontal="left" vertical="center"/>
    </xf>
    <xf numFmtId="0" fontId="23" fillId="0" borderId="0" xfId="0" applyFont="1"/>
    <xf numFmtId="0" fontId="24" fillId="0" borderId="0" xfId="0" applyFont="1"/>
    <xf numFmtId="0" fontId="25" fillId="0" borderId="0" xfId="1"/>
    <xf numFmtId="0" fontId="26" fillId="0" borderId="0" xfId="0" applyFont="1"/>
    <xf numFmtId="0" fontId="27" fillId="0" borderId="0" xfId="0" applyFont="1"/>
    <xf numFmtId="0" fontId="0" fillId="5" borderId="0" xfId="0" applyFill="1"/>
    <xf numFmtId="0" fontId="28" fillId="0" borderId="0" xfId="0" applyFont="1"/>
    <xf numFmtId="0" fontId="29" fillId="0" borderId="0" xfId="0" applyFont="1"/>
    <xf numFmtId="0" fontId="30" fillId="6" borderId="0" xfId="0" applyFont="1" applyFill="1"/>
    <xf numFmtId="0" fontId="31" fillId="0" borderId="0" xfId="0" applyFont="1"/>
    <xf numFmtId="164" fontId="32" fillId="0" borderId="0" xfId="0" applyNumberFormat="1" applyFont="1"/>
    <xf numFmtId="166" fontId="32" fillId="0" borderId="0" xfId="0" applyNumberFormat="1" applyFont="1"/>
    <xf numFmtId="164" fontId="31" fillId="0" borderId="0" xfId="0" applyNumberFormat="1" applyFont="1"/>
    <xf numFmtId="166" fontId="31" fillId="0" borderId="0" xfId="0" applyNumberFormat="1" applyFont="1"/>
    <xf numFmtId="1" fontId="31" fillId="0" borderId="0" xfId="0" applyNumberFormat="1" applyFont="1"/>
    <xf numFmtId="0" fontId="33" fillId="0" borderId="0" xfId="0" applyFont="1"/>
    <xf numFmtId="0" fontId="32" fillId="0" borderId="0" xfId="0" applyFont="1"/>
    <xf numFmtId="167" fontId="0" fillId="0" borderId="0" xfId="0" applyNumberFormat="1"/>
    <xf numFmtId="168" fontId="0" fillId="0" borderId="0" xfId="0" applyNumberFormat="1"/>
    <xf numFmtId="0" fontId="2" fillId="0" borderId="0" xfId="0" applyFont="1"/>
    <xf numFmtId="0" fontId="0" fillId="0" borderId="0" xfId="0"/>
    <xf numFmtId="0" fontId="21"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very.co.uk/blank-labels/rectangle-210x297mm?mat=wop" TargetMode="External"/><Relationship Id="rId3" Type="http://schemas.openxmlformats.org/officeDocument/2006/relationships/hyperlink" Target="https://www.amazon.co.uk/dp/B0DJZFTP56?ref=ppx_yo2ov_dt_b_fed_asin_title" TargetMode="External"/><Relationship Id="rId7" Type="http://schemas.openxmlformats.org/officeDocument/2006/relationships/hyperlink" Target="https://www.amazon.co.uk/dp/B094454Q6P?ref=ppx_yo2ov_dt_b_fed_asin_title" TargetMode="External"/><Relationship Id="rId2" Type="http://schemas.openxmlformats.org/officeDocument/2006/relationships/hyperlink" Target="https://www.amazon.co.uk/dp/B0DXY7Q984?ref=ppx_yo2ov_dt_b_fed_asin_title" TargetMode="External"/><Relationship Id="rId1" Type="http://schemas.openxmlformats.org/officeDocument/2006/relationships/hyperlink" Target="https://www.amazon.co.uk/dp/B0DK3V552G?ref=ppx_yo2ov_dt_b_fed_asin_title" TargetMode="External"/><Relationship Id="rId6" Type="http://schemas.openxmlformats.org/officeDocument/2006/relationships/hyperlink" Target="https://www.amazon.co.uk/dp/B0DFZ6585M?ref=ppx_yo2ov_dt_b_fed_asin_title" TargetMode="External"/><Relationship Id="rId5" Type="http://schemas.openxmlformats.org/officeDocument/2006/relationships/hyperlink" Target="https://www.amazon.co.uk/dp/B0BNQW8LY3?ref=ppx_yo2ov_dt_b_fed_asin_title" TargetMode="External"/><Relationship Id="rId10" Type="http://schemas.openxmlformats.org/officeDocument/2006/relationships/hyperlink" Target="https://www.ebay.co.uk/itm/298422348734" TargetMode="External"/><Relationship Id="rId4" Type="http://schemas.openxmlformats.org/officeDocument/2006/relationships/hyperlink" Target="https://www.amazon.co.uk/dp/B082WLC8BJ?ref=ppx_yo2ov_dt_b_fed_asin_title" TargetMode="External"/><Relationship Id="rId9" Type="http://schemas.openxmlformats.org/officeDocument/2006/relationships/hyperlink" Target="https://www.avery.co.uk/blank-labels/rectangle-210x297mm?mat=wo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0"/>
  <sheetViews>
    <sheetView tabSelected="1" zoomScaleNormal="100" workbookViewId="0">
      <pane ySplit="4" topLeftCell="A26" activePane="bottomLeft" state="frozen"/>
      <selection pane="bottomLeft" activeCell="B71" sqref="B71"/>
    </sheetView>
  </sheetViews>
  <sheetFormatPr defaultColWidth="8.6640625" defaultRowHeight="14.4" x14ac:dyDescent="0.3"/>
  <cols>
    <col min="1" max="1" width="42" customWidth="1"/>
    <col min="2" max="3" width="14" customWidth="1"/>
    <col min="4" max="4" width="46" customWidth="1"/>
  </cols>
  <sheetData>
    <row r="1" spans="1:5" ht="17.25" customHeight="1" x14ac:dyDescent="0.3">
      <c r="A1" s="4" t="s">
        <v>44</v>
      </c>
    </row>
    <row r="2" spans="1:5" ht="15" customHeight="1" x14ac:dyDescent="0.3">
      <c r="A2" s="1" t="s">
        <v>45</v>
      </c>
    </row>
    <row r="4" spans="1:5" ht="15" customHeight="1" x14ac:dyDescent="0.3">
      <c r="A4" s="5" t="s">
        <v>3</v>
      </c>
      <c r="B4" s="5" t="s">
        <v>46</v>
      </c>
      <c r="C4" s="5" t="s">
        <v>5</v>
      </c>
      <c r="D4" s="5" t="s">
        <v>6</v>
      </c>
    </row>
    <row r="5" spans="1:5" ht="15" customHeight="1" x14ac:dyDescent="0.3">
      <c r="A5" s="6" t="s">
        <v>47</v>
      </c>
      <c r="B5" s="7">
        <v>370</v>
      </c>
      <c r="C5" s="6" t="s">
        <v>48</v>
      </c>
      <c r="D5" s="8" t="s">
        <v>49</v>
      </c>
    </row>
    <row r="6" spans="1:5" ht="15" customHeight="1" x14ac:dyDescent="0.3">
      <c r="A6" s="6" t="s">
        <v>50</v>
      </c>
      <c r="B6" s="7">
        <v>0</v>
      </c>
      <c r="C6" s="6" t="s">
        <v>48</v>
      </c>
      <c r="D6" s="8" t="s">
        <v>51</v>
      </c>
      <c r="E6" t="s">
        <v>52</v>
      </c>
    </row>
    <row r="7" spans="1:5" ht="15" customHeight="1" x14ac:dyDescent="0.3">
      <c r="A7" s="6" t="s">
        <v>53</v>
      </c>
      <c r="B7" s="7">
        <v>0</v>
      </c>
      <c r="C7" s="6" t="s">
        <v>48</v>
      </c>
      <c r="D7" s="8" t="s">
        <v>54</v>
      </c>
      <c r="E7" t="s">
        <v>52</v>
      </c>
    </row>
    <row r="8" spans="1:5" ht="15" customHeight="1" x14ac:dyDescent="0.3">
      <c r="A8" s="6" t="s">
        <v>55</v>
      </c>
      <c r="B8" s="7">
        <v>105</v>
      </c>
      <c r="C8" s="6" t="s">
        <v>48</v>
      </c>
      <c r="D8" s="8" t="s">
        <v>56</v>
      </c>
      <c r="E8" s="48" t="s">
        <v>57</v>
      </c>
    </row>
    <row r="9" spans="1:5" ht="15" customHeight="1" x14ac:dyDescent="0.3">
      <c r="A9" s="6" t="s">
        <v>58</v>
      </c>
      <c r="B9" s="7">
        <v>0</v>
      </c>
      <c r="C9" s="6" t="s">
        <v>48</v>
      </c>
      <c r="D9" s="8" t="s">
        <v>59</v>
      </c>
    </row>
    <row r="10" spans="1:5" ht="15" customHeight="1" x14ac:dyDescent="0.3">
      <c r="A10" t="s">
        <v>60</v>
      </c>
      <c r="B10">
        <v>38</v>
      </c>
      <c r="C10" t="s">
        <v>48</v>
      </c>
      <c r="D10" t="s">
        <v>61</v>
      </c>
    </row>
    <row r="11" spans="1:5" x14ac:dyDescent="0.3">
      <c r="A11" t="s">
        <v>62</v>
      </c>
      <c r="B11">
        <v>7</v>
      </c>
      <c r="C11" t="s">
        <v>48</v>
      </c>
      <c r="D11" t="s">
        <v>63</v>
      </c>
    </row>
    <row r="12" spans="1:5" ht="15" customHeight="1" x14ac:dyDescent="0.3">
      <c r="A12" t="s">
        <v>64</v>
      </c>
      <c r="B12">
        <v>5</v>
      </c>
      <c r="C12" t="s">
        <v>48</v>
      </c>
      <c r="D12" t="s">
        <v>65</v>
      </c>
    </row>
    <row r="13" spans="1:5" ht="15" customHeight="1" x14ac:dyDescent="0.35">
      <c r="A13" s="49" t="s">
        <v>66</v>
      </c>
      <c r="B13">
        <v>4</v>
      </c>
    </row>
    <row r="14" spans="1:5" ht="15" customHeight="1" x14ac:dyDescent="0.3">
      <c r="A14" s="9" t="s">
        <v>67</v>
      </c>
      <c r="B14" s="10">
        <f>SUM(B5:B13)</f>
        <v>529</v>
      </c>
      <c r="C14" s="11"/>
      <c r="D14" s="11"/>
    </row>
    <row r="15" spans="1:5" ht="15" customHeight="1" x14ac:dyDescent="0.3"/>
    <row r="16" spans="1:5" ht="15" customHeight="1" x14ac:dyDescent="0.3">
      <c r="A16" s="12" t="s">
        <v>68</v>
      </c>
    </row>
    <row r="17" spans="1:7" ht="15" customHeight="1" x14ac:dyDescent="0.3">
      <c r="A17" s="5" t="s">
        <v>3</v>
      </c>
      <c r="B17" s="5" t="s">
        <v>46</v>
      </c>
      <c r="C17" s="5" t="s">
        <v>5</v>
      </c>
      <c r="D17" s="5" t="s">
        <v>6</v>
      </c>
    </row>
    <row r="18" spans="1:7" ht="15" customHeight="1" x14ac:dyDescent="0.3">
      <c r="A18" s="6" t="s">
        <v>69</v>
      </c>
      <c r="B18" s="7">
        <v>96</v>
      </c>
      <c r="C18" s="6" t="s">
        <v>70</v>
      </c>
      <c r="D18" s="8" t="s">
        <v>71</v>
      </c>
    </row>
    <row r="19" spans="1:7" x14ac:dyDescent="0.3">
      <c r="A19" s="6" t="s">
        <v>72</v>
      </c>
      <c r="B19" s="7">
        <v>249.99</v>
      </c>
      <c r="C19" s="6" t="s">
        <v>73</v>
      </c>
      <c r="D19" s="8" t="s">
        <v>74</v>
      </c>
    </row>
    <row r="20" spans="1:7" ht="15" customHeight="1" x14ac:dyDescent="0.3">
      <c r="A20" s="6" t="s">
        <v>75</v>
      </c>
      <c r="B20" s="7">
        <v>11.19</v>
      </c>
      <c r="C20" s="6" t="s">
        <v>73</v>
      </c>
      <c r="D20" s="8" t="s">
        <v>76</v>
      </c>
    </row>
    <row r="21" spans="1:7" ht="15" customHeight="1" x14ac:dyDescent="0.3">
      <c r="A21" s="6" t="s">
        <v>77</v>
      </c>
      <c r="B21" s="7">
        <v>250</v>
      </c>
      <c r="C21" s="6" t="s">
        <v>48</v>
      </c>
      <c r="D21" s="8" t="s">
        <v>78</v>
      </c>
    </row>
    <row r="22" spans="1:7" x14ac:dyDescent="0.3">
      <c r="A22" s="9" t="s">
        <v>79</v>
      </c>
      <c r="B22" s="10">
        <f>SUM(B18:B21)</f>
        <v>607.18000000000006</v>
      </c>
      <c r="C22" s="11"/>
      <c r="D22" s="11"/>
    </row>
    <row r="23" spans="1:7" ht="15" customHeight="1" x14ac:dyDescent="0.3"/>
    <row r="24" spans="1:7" ht="15" customHeight="1" x14ac:dyDescent="0.3">
      <c r="A24" s="13" t="s">
        <v>80</v>
      </c>
      <c r="B24" s="14">
        <f>B14+B18</f>
        <v>625</v>
      </c>
      <c r="C24" s="15"/>
      <c r="D24" s="15"/>
    </row>
    <row r="26" spans="1:7" x14ac:dyDescent="0.3">
      <c r="A26" s="1" t="s">
        <v>81</v>
      </c>
    </row>
    <row r="27" spans="1:7" x14ac:dyDescent="0.3">
      <c r="A27" s="1" t="s">
        <v>82</v>
      </c>
    </row>
    <row r="29" spans="1:7" x14ac:dyDescent="0.3">
      <c r="A29" s="12" t="s">
        <v>83</v>
      </c>
    </row>
    <row r="30" spans="1:7" x14ac:dyDescent="0.3">
      <c r="A30" s="16" t="s">
        <v>3</v>
      </c>
      <c r="B30" s="16" t="s">
        <v>46</v>
      </c>
      <c r="C30" s="16" t="s">
        <v>5</v>
      </c>
      <c r="D30" s="16" t="s">
        <v>6</v>
      </c>
      <c r="E30" s="16" t="s">
        <v>84</v>
      </c>
    </row>
    <row r="31" spans="1:7" ht="15" customHeight="1" x14ac:dyDescent="0.35">
      <c r="A31" s="49" t="s">
        <v>85</v>
      </c>
      <c r="B31" s="18">
        <v>13</v>
      </c>
      <c r="C31" s="17"/>
      <c r="D31" s="1"/>
      <c r="E31">
        <v>25</v>
      </c>
      <c r="F31">
        <f t="shared" ref="F31:F40" si="0">B31/E31</f>
        <v>0.52</v>
      </c>
      <c r="G31" t="s">
        <v>86</v>
      </c>
    </row>
    <row r="32" spans="1:7" ht="15" customHeight="1" x14ac:dyDescent="0.35">
      <c r="A32" s="49" t="s">
        <v>87</v>
      </c>
      <c r="B32" s="18">
        <v>8</v>
      </c>
      <c r="C32" s="17" t="s">
        <v>88</v>
      </c>
      <c r="D32" s="1" t="s">
        <v>89</v>
      </c>
      <c r="E32">
        <v>10</v>
      </c>
      <c r="F32">
        <f t="shared" si="0"/>
        <v>0.8</v>
      </c>
      <c r="G32" t="s">
        <v>86</v>
      </c>
    </row>
    <row r="33" spans="1:9" ht="15" customHeight="1" x14ac:dyDescent="0.35">
      <c r="A33" s="50" t="s">
        <v>90</v>
      </c>
      <c r="B33" s="18">
        <v>5.85</v>
      </c>
      <c r="C33" s="17" t="s">
        <v>88</v>
      </c>
      <c r="D33" s="1" t="s">
        <v>91</v>
      </c>
      <c r="E33">
        <v>10</v>
      </c>
      <c r="F33">
        <f t="shared" si="0"/>
        <v>0.58499999999999996</v>
      </c>
      <c r="G33" t="s">
        <v>86</v>
      </c>
    </row>
    <row r="34" spans="1:9" x14ac:dyDescent="0.3">
      <c r="A34" s="51" t="s">
        <v>92</v>
      </c>
      <c r="B34" s="18">
        <v>6</v>
      </c>
      <c r="C34" s="17"/>
      <c r="D34" s="1"/>
      <c r="E34">
        <v>25</v>
      </c>
      <c r="F34">
        <f t="shared" si="0"/>
        <v>0.24</v>
      </c>
      <c r="G34" t="s">
        <v>93</v>
      </c>
    </row>
    <row r="35" spans="1:9" x14ac:dyDescent="0.3">
      <c r="A35" s="51" t="s">
        <v>94</v>
      </c>
      <c r="B35" s="18">
        <v>7.37</v>
      </c>
      <c r="C35" s="17"/>
      <c r="D35" s="1"/>
      <c r="E35">
        <v>50</v>
      </c>
      <c r="F35">
        <f t="shared" si="0"/>
        <v>0.1474</v>
      </c>
      <c r="G35" t="s">
        <v>93</v>
      </c>
    </row>
    <row r="36" spans="1:9" x14ac:dyDescent="0.3">
      <c r="A36" s="51" t="s">
        <v>95</v>
      </c>
      <c r="B36" s="18">
        <v>6</v>
      </c>
      <c r="C36" s="17"/>
      <c r="D36" s="1"/>
      <c r="E36">
        <v>25</v>
      </c>
      <c r="F36">
        <f t="shared" si="0"/>
        <v>0.24</v>
      </c>
      <c r="G36" t="s">
        <v>93</v>
      </c>
    </row>
    <row r="37" spans="1:9" x14ac:dyDescent="0.3">
      <c r="A37" s="51" t="s">
        <v>96</v>
      </c>
      <c r="B37" s="18">
        <v>9</v>
      </c>
      <c r="C37" s="17"/>
      <c r="D37" s="1"/>
      <c r="E37">
        <v>100</v>
      </c>
      <c r="F37">
        <f t="shared" si="0"/>
        <v>0.09</v>
      </c>
      <c r="G37" t="s">
        <v>93</v>
      </c>
    </row>
    <row r="38" spans="1:9" x14ac:dyDescent="0.3">
      <c r="A38" s="51" t="s">
        <v>97</v>
      </c>
      <c r="B38" s="18">
        <v>5</v>
      </c>
      <c r="C38" s="17"/>
      <c r="D38" s="1"/>
      <c r="E38">
        <v>40</v>
      </c>
      <c r="F38">
        <f t="shared" si="0"/>
        <v>0.125</v>
      </c>
      <c r="G38" t="s">
        <v>93</v>
      </c>
    </row>
    <row r="39" spans="1:9" x14ac:dyDescent="0.3">
      <c r="A39" s="51" t="s">
        <v>98</v>
      </c>
      <c r="B39" s="18">
        <v>6.09</v>
      </c>
      <c r="C39" s="17"/>
      <c r="D39" s="1"/>
      <c r="E39">
        <v>10</v>
      </c>
      <c r="F39">
        <f t="shared" si="0"/>
        <v>0.60899999999999999</v>
      </c>
      <c r="G39" t="s">
        <v>93</v>
      </c>
    </row>
    <row r="40" spans="1:9" x14ac:dyDescent="0.3">
      <c r="A40" s="51" t="s">
        <v>99</v>
      </c>
      <c r="B40" s="18">
        <v>10</v>
      </c>
      <c r="C40" s="17"/>
      <c r="D40" s="1"/>
      <c r="E40">
        <v>50</v>
      </c>
      <c r="F40">
        <f t="shared" si="0"/>
        <v>0.2</v>
      </c>
      <c r="G40" t="s">
        <v>93</v>
      </c>
    </row>
    <row r="41" spans="1:9" x14ac:dyDescent="0.3">
      <c r="A41" t="s">
        <v>100</v>
      </c>
      <c r="B41" s="18">
        <v>13</v>
      </c>
      <c r="C41" s="17"/>
      <c r="D41" s="1"/>
      <c r="E41">
        <v>20</v>
      </c>
      <c r="F41">
        <f>(B41+I41)/E41</f>
        <v>0.85</v>
      </c>
      <c r="G41" t="s">
        <v>101</v>
      </c>
      <c r="H41" t="s">
        <v>102</v>
      </c>
      <c r="I41">
        <v>4</v>
      </c>
    </row>
    <row r="42" spans="1:9" x14ac:dyDescent="0.3">
      <c r="A42" t="s">
        <v>103</v>
      </c>
      <c r="B42" s="18">
        <v>13</v>
      </c>
      <c r="C42" s="17"/>
      <c r="D42" s="1"/>
      <c r="E42">
        <v>20</v>
      </c>
      <c r="F42">
        <f>(B42+I42)/E42</f>
        <v>0.85</v>
      </c>
      <c r="G42" t="s">
        <v>101</v>
      </c>
      <c r="H42" t="s">
        <v>102</v>
      </c>
      <c r="I42">
        <v>4</v>
      </c>
    </row>
    <row r="43" spans="1:9" x14ac:dyDescent="0.3">
      <c r="A43" s="51" t="s">
        <v>306</v>
      </c>
      <c r="B43" s="18"/>
      <c r="C43" s="17"/>
      <c r="D43" s="1"/>
    </row>
    <row r="44" spans="1:9" x14ac:dyDescent="0.3">
      <c r="A44" s="19" t="s">
        <v>104</v>
      </c>
      <c r="B44" s="20">
        <f>SUM(B31:B42)</f>
        <v>102.31</v>
      </c>
    </row>
    <row r="46" spans="1:9" ht="15.6" customHeight="1" x14ac:dyDescent="0.3">
      <c r="A46" s="21" t="s">
        <v>105</v>
      </c>
      <c r="B46" s="22">
        <f>B14+B44</f>
        <v>631.30999999999995</v>
      </c>
    </row>
    <row r="47" spans="1:9" x14ac:dyDescent="0.3">
      <c r="A47" s="68" t="s">
        <v>106</v>
      </c>
      <c r="B47" s="69"/>
      <c r="C47" s="69"/>
      <c r="D47" s="69"/>
    </row>
    <row r="49" spans="1:4" ht="15.6" customHeight="1" x14ac:dyDescent="0.3">
      <c r="A49" s="23" t="s">
        <v>107</v>
      </c>
    </row>
    <row r="50" spans="1:4" x14ac:dyDescent="0.3">
      <c r="A50" s="68" t="s">
        <v>108</v>
      </c>
      <c r="B50" s="69"/>
      <c r="C50" s="69"/>
      <c r="D50" s="69"/>
    </row>
    <row r="52" spans="1:4" x14ac:dyDescent="0.3">
      <c r="A52" s="17" t="s">
        <v>109</v>
      </c>
      <c r="B52" s="18">
        <v>6</v>
      </c>
      <c r="D52" s="1" t="s">
        <v>110</v>
      </c>
    </row>
    <row r="53" spans="1:4" x14ac:dyDescent="0.3">
      <c r="A53" s="17" t="s">
        <v>111</v>
      </c>
      <c r="B53" s="24">
        <f>'Bin Stickers 100x140 4pk'!B68</f>
        <v>29.075999999999997</v>
      </c>
      <c r="D53" s="1" t="s">
        <v>112</v>
      </c>
    </row>
    <row r="54" spans="1:4" x14ac:dyDescent="0.3">
      <c r="A54" s="25" t="s">
        <v>113</v>
      </c>
      <c r="B54" s="26">
        <f>B52-B53</f>
        <v>-23.075999999999997</v>
      </c>
    </row>
    <row r="56" spans="1:4" x14ac:dyDescent="0.3">
      <c r="A56" s="17" t="s">
        <v>114</v>
      </c>
      <c r="B56" s="27">
        <f>B46</f>
        <v>631.30999999999995</v>
      </c>
    </row>
    <row r="57" spans="1:4" x14ac:dyDescent="0.3">
      <c r="A57" s="19" t="s">
        <v>115</v>
      </c>
      <c r="B57" s="28">
        <f>IFERROR(B56/B54,"N/A")</f>
        <v>-27.357860981105912</v>
      </c>
    </row>
    <row r="58" spans="1:4" x14ac:dyDescent="0.3">
      <c r="A58" s="19" t="s">
        <v>116</v>
      </c>
      <c r="B58" s="28">
        <f>IFERROR(B57*'Bin Stickers 100x140 4pk'!B7,"N/A")</f>
        <v>-109.43144392442365</v>
      </c>
    </row>
    <row r="60" spans="1:4" x14ac:dyDescent="0.3">
      <c r="A60" s="68" t="s">
        <v>117</v>
      </c>
      <c r="B60" s="69"/>
      <c r="C60" s="69"/>
      <c r="D60" s="69"/>
    </row>
    <row r="64" spans="1:4" x14ac:dyDescent="0.3">
      <c r="A64" s="51" t="s">
        <v>306</v>
      </c>
    </row>
    <row r="65" spans="1:2" x14ac:dyDescent="0.3">
      <c r="A65" t="s">
        <v>308</v>
      </c>
      <c r="B65">
        <v>180</v>
      </c>
    </row>
    <row r="66" spans="1:2" x14ac:dyDescent="0.3">
      <c r="A66" t="s">
        <v>309</v>
      </c>
      <c r="B66">
        <v>20</v>
      </c>
    </row>
    <row r="67" spans="1:2" x14ac:dyDescent="0.3">
      <c r="A67" t="s">
        <v>310</v>
      </c>
      <c r="B67">
        <v>8</v>
      </c>
    </row>
    <row r="68" spans="1:2" x14ac:dyDescent="0.3">
      <c r="A68" t="s">
        <v>311</v>
      </c>
      <c r="B68">
        <v>8</v>
      </c>
    </row>
    <row r="69" spans="1:2" x14ac:dyDescent="0.3">
      <c r="A69" s="51" t="s">
        <v>312</v>
      </c>
      <c r="B69">
        <v>14</v>
      </c>
    </row>
    <row r="70" spans="1:2" x14ac:dyDescent="0.3">
      <c r="B70">
        <f>SUM(B65:B69)</f>
        <v>230</v>
      </c>
    </row>
  </sheetData>
  <mergeCells count="3">
    <mergeCell ref="A60:D60"/>
    <mergeCell ref="A47:D47"/>
    <mergeCell ref="A50:D50"/>
  </mergeCells>
  <hyperlinks>
    <hyperlink ref="A34" r:id="rId1" display="https://www.amazon.co.uk/dp/B0DK3V552G?ref=ppx_yo2ov_dt_b_fed_asin_title" xr:uid="{00000000-0004-0000-0000-000000000000}"/>
    <hyperlink ref="A35" r:id="rId2" display="https://www.amazon.co.uk/dp/B0DXY7Q984?ref=ppx_yo2ov_dt_b_fed_asin_title" xr:uid="{00000000-0004-0000-0000-000001000000}"/>
    <hyperlink ref="A36" r:id="rId3" display="https://www.amazon.co.uk/dp/B0DJZFTP56?ref=ppx_yo2ov_dt_b_fed_asin_title" xr:uid="{00000000-0004-0000-0000-000002000000}"/>
    <hyperlink ref="A37" r:id="rId4" display="https://www.amazon.co.uk/dp/B082WLC8BJ?ref=ppx_yo2ov_dt_b_fed_asin_title" xr:uid="{00000000-0004-0000-0000-000003000000}"/>
    <hyperlink ref="A38" r:id="rId5" display="https://www.amazon.co.uk/dp/B0BNQW8LY3?ref=ppx_yo2ov_dt_b_fed_asin_title" xr:uid="{00000000-0004-0000-0000-000004000000}"/>
    <hyperlink ref="A39" r:id="rId6" display="https://www.amazon.co.uk/dp/B0DFZ6585M?ref=ppx_yo2ov_dt_b_fed_asin_title" xr:uid="{00000000-0004-0000-0000-000005000000}"/>
    <hyperlink ref="A40" r:id="rId7" display="https://www.amazon.co.uk/dp/B094454Q6P?ref=ppx_yo2ov_dt_b_fed_asin_title" xr:uid="{00000000-0004-0000-0000-000006000000}"/>
    <hyperlink ref="A43" r:id="rId8" display="https://www.avery.co.uk/blank-labels/rectangle-210x297mm?mat=wop" xr:uid="{E3D54250-8282-46DF-B69A-4347BD41481B}"/>
    <hyperlink ref="A64" r:id="rId9" display="https://www.avery.co.uk/blank-labels/rectangle-210x297mm?mat=wop" xr:uid="{85EB6DCF-BF48-4CCD-99E1-16242BE1FA3E}"/>
    <hyperlink ref="A69" r:id="rId10" display="https://www.ebay.co.uk/itm/298422348734" xr:uid="{7322324D-F8B7-4017-ACB0-DA34DF58D45B}"/>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1"/>
  <sheetViews>
    <sheetView topLeftCell="A24" zoomScaleNormal="100" workbookViewId="0">
      <selection activeCell="B34" sqref="B34"/>
    </sheetView>
  </sheetViews>
  <sheetFormatPr defaultColWidth="8.6640625" defaultRowHeight="14.4" x14ac:dyDescent="0.3"/>
  <cols>
    <col min="1" max="1" width="46" customWidth="1"/>
    <col min="2" max="2" width="16" customWidth="1"/>
    <col min="3" max="3" width="55" customWidth="1"/>
    <col min="4" max="5" width="16.6640625" bestFit="1" customWidth="1"/>
  </cols>
  <sheetData>
    <row r="1" spans="1:3" ht="17.25" customHeight="1" x14ac:dyDescent="0.35">
      <c r="A1" s="29" t="s">
        <v>118</v>
      </c>
    </row>
    <row r="2" spans="1:3" ht="14.25" customHeight="1" x14ac:dyDescent="0.3">
      <c r="A2" s="30" t="s">
        <v>119</v>
      </c>
    </row>
    <row r="4" spans="1:3" ht="14.25" customHeight="1" x14ac:dyDescent="0.3">
      <c r="A4" s="31" t="s">
        <v>120</v>
      </c>
    </row>
    <row r="5" spans="1:3" ht="14.25" customHeight="1" x14ac:dyDescent="0.3">
      <c r="A5" s="32" t="s">
        <v>3</v>
      </c>
      <c r="B5" s="32" t="s">
        <v>121</v>
      </c>
      <c r="C5" s="32" t="s">
        <v>6</v>
      </c>
    </row>
    <row r="6" spans="1:3" ht="14.25" customHeight="1" x14ac:dyDescent="0.3">
      <c r="A6" t="s">
        <v>122</v>
      </c>
      <c r="B6" s="33" t="s">
        <v>123</v>
      </c>
      <c r="C6" s="30" t="s">
        <v>124</v>
      </c>
    </row>
    <row r="7" spans="1:3" ht="14.25" customHeight="1" x14ac:dyDescent="0.3">
      <c r="A7" t="s">
        <v>125</v>
      </c>
      <c r="B7" s="33">
        <v>4</v>
      </c>
      <c r="C7" s="30" t="s">
        <v>126</v>
      </c>
    </row>
    <row r="8" spans="1:3" ht="14.25" customHeight="1" x14ac:dyDescent="0.3">
      <c r="A8" t="s">
        <v>127</v>
      </c>
      <c r="B8" s="33">
        <v>1</v>
      </c>
      <c r="C8" s="30" t="s">
        <v>128</v>
      </c>
    </row>
    <row r="10" spans="1:3" ht="14.25" customHeight="1" x14ac:dyDescent="0.3">
      <c r="A10" s="31" t="s">
        <v>129</v>
      </c>
    </row>
    <row r="11" spans="1:3" ht="14.25" customHeight="1" x14ac:dyDescent="0.3">
      <c r="A11" s="32" t="s">
        <v>3</v>
      </c>
      <c r="B11" s="32" t="s">
        <v>130</v>
      </c>
      <c r="C11" s="32" t="s">
        <v>6</v>
      </c>
    </row>
    <row r="12" spans="1:3" ht="14.25" customHeight="1" x14ac:dyDescent="0.3">
      <c r="A12" t="s">
        <v>131</v>
      </c>
      <c r="B12" s="34">
        <v>0.32500000000000001</v>
      </c>
      <c r="C12" s="30" t="s">
        <v>132</v>
      </c>
    </row>
    <row r="13" spans="1:3" ht="14.25" customHeight="1" x14ac:dyDescent="0.3">
      <c r="A13" t="s">
        <v>133</v>
      </c>
      <c r="B13" s="34">
        <v>0.32500000000000001</v>
      </c>
      <c r="C13" s="30" t="s">
        <v>134</v>
      </c>
    </row>
    <row r="14" spans="1:3" ht="14.25" customHeight="1" x14ac:dyDescent="0.3">
      <c r="A14" t="s">
        <v>135</v>
      </c>
      <c r="B14" s="34">
        <v>0.05</v>
      </c>
      <c r="C14" s="30" t="s">
        <v>136</v>
      </c>
    </row>
    <row r="15" spans="1:3" ht="14.25" customHeight="1" x14ac:dyDescent="0.3">
      <c r="A15" t="s">
        <v>137</v>
      </c>
      <c r="B15" s="35">
        <f>SUM(B12:B14)</f>
        <v>0.70000000000000007</v>
      </c>
    </row>
    <row r="17" spans="1:3" ht="14.25" customHeight="1" x14ac:dyDescent="0.3">
      <c r="A17" t="s">
        <v>138</v>
      </c>
      <c r="B17" s="36">
        <f>B8</f>
        <v>1</v>
      </c>
    </row>
    <row r="18" spans="1:3" ht="14.25" customHeight="1" x14ac:dyDescent="0.3">
      <c r="A18" t="s">
        <v>139</v>
      </c>
      <c r="B18" s="35">
        <f>B15*B17</f>
        <v>0.70000000000000007</v>
      </c>
    </row>
    <row r="20" spans="1:3" ht="14.25" customHeight="1" x14ac:dyDescent="0.3">
      <c r="A20" s="31" t="s">
        <v>140</v>
      </c>
      <c r="B20" s="37"/>
      <c r="C20" s="37"/>
    </row>
    <row r="21" spans="1:3" ht="14.25" customHeight="1" x14ac:dyDescent="0.3">
      <c r="A21" s="32" t="s">
        <v>141</v>
      </c>
      <c r="B21" s="38" t="s">
        <v>142</v>
      </c>
      <c r="C21" s="32" t="s">
        <v>6</v>
      </c>
    </row>
    <row r="22" spans="1:3" ht="54.75" customHeight="1" x14ac:dyDescent="0.3">
      <c r="A22" s="37" t="s">
        <v>143</v>
      </c>
      <c r="B22" s="34">
        <v>0.08</v>
      </c>
      <c r="C22" s="39" t="s">
        <v>144</v>
      </c>
    </row>
    <row r="23" spans="1:3" ht="41.25" customHeight="1" x14ac:dyDescent="0.3">
      <c r="A23" s="37" t="s">
        <v>145</v>
      </c>
      <c r="B23" s="34">
        <v>0.09</v>
      </c>
      <c r="C23" s="39" t="s">
        <v>146</v>
      </c>
    </row>
    <row r="24" spans="1:3" ht="54.75" customHeight="1" x14ac:dyDescent="0.3">
      <c r="A24" s="37" t="s">
        <v>147</v>
      </c>
      <c r="B24" s="34">
        <v>0.12</v>
      </c>
      <c r="C24" s="39" t="s">
        <v>148</v>
      </c>
    </row>
    <row r="25" spans="1:3" ht="14.25" customHeight="1" x14ac:dyDescent="0.3">
      <c r="A25" s="37" t="s">
        <v>149</v>
      </c>
      <c r="B25" s="34">
        <v>0.14000000000000001</v>
      </c>
      <c r="C25" s="39" t="s">
        <v>150</v>
      </c>
    </row>
    <row r="26" spans="1:3" ht="54.75" customHeight="1" x14ac:dyDescent="0.3">
      <c r="A26" s="37"/>
      <c r="B26" s="37"/>
      <c r="C26" s="37"/>
    </row>
    <row r="27" spans="1:3" ht="14.25" customHeight="1" x14ac:dyDescent="0.3">
      <c r="A27" s="37" t="s">
        <v>151</v>
      </c>
      <c r="B27" s="34" t="s">
        <v>143</v>
      </c>
      <c r="C27" s="39" t="s">
        <v>152</v>
      </c>
    </row>
    <row r="28" spans="1:3" x14ac:dyDescent="0.3">
      <c r="A28" s="3" t="s">
        <v>153</v>
      </c>
      <c r="B28" s="40">
        <f>INDEX(B22:B25,MATCH(B27,A22:A25,0))</f>
        <v>0.08</v>
      </c>
      <c r="C28" s="37"/>
    </row>
    <row r="29" spans="1:3" ht="14.25" customHeight="1" x14ac:dyDescent="0.3">
      <c r="A29" s="37"/>
      <c r="B29" s="41"/>
      <c r="C29" s="37"/>
    </row>
    <row r="30" spans="1:3" ht="14.25" customHeight="1" x14ac:dyDescent="0.3">
      <c r="A30" s="3" t="s">
        <v>154</v>
      </c>
      <c r="B30" s="40">
        <f>B18+B28</f>
        <v>0.78</v>
      </c>
      <c r="C30" s="37"/>
    </row>
    <row r="31" spans="1:3" x14ac:dyDescent="0.3">
      <c r="A31" s="37" t="s">
        <v>155</v>
      </c>
      <c r="B31" s="42">
        <f>B30/B7</f>
        <v>0.19500000000000001</v>
      </c>
      <c r="C31" s="37"/>
    </row>
    <row r="32" spans="1:3" ht="14.25" customHeight="1" x14ac:dyDescent="0.3">
      <c r="A32" t="s">
        <v>156</v>
      </c>
    </row>
    <row r="33" spans="1:3" ht="14.25" customHeight="1" x14ac:dyDescent="0.3">
      <c r="A33" t="s">
        <v>3</v>
      </c>
      <c r="B33" t="s">
        <v>130</v>
      </c>
      <c r="C33" t="s">
        <v>6</v>
      </c>
    </row>
    <row r="34" spans="1:3" ht="54.75" customHeight="1" x14ac:dyDescent="0.3">
      <c r="A34" t="s">
        <v>157</v>
      </c>
      <c r="B34">
        <v>0.02</v>
      </c>
      <c r="C34" t="s">
        <v>158</v>
      </c>
    </row>
    <row r="35" spans="1:3" ht="27.75" customHeight="1" x14ac:dyDescent="0.3">
      <c r="A35" t="s">
        <v>159</v>
      </c>
      <c r="B35">
        <v>0.05</v>
      </c>
      <c r="C35" t="s">
        <v>160</v>
      </c>
    </row>
    <row r="36" spans="1:3" ht="27.75" customHeight="1" x14ac:dyDescent="0.3">
      <c r="A36" t="s">
        <v>161</v>
      </c>
      <c r="B36">
        <f>SUM(B34:B35)</f>
        <v>7.0000000000000007E-2</v>
      </c>
    </row>
    <row r="37" spans="1:3" ht="27.75" customHeight="1" x14ac:dyDescent="0.3">
      <c r="A37" s="3" t="s">
        <v>162</v>
      </c>
      <c r="B37" s="40">
        <f>B36+B30</f>
        <v>0.85000000000000009</v>
      </c>
      <c r="C37" s="37"/>
    </row>
    <row r="38" spans="1:3" ht="28.5" customHeight="1" x14ac:dyDescent="0.3">
      <c r="A38" s="31" t="s">
        <v>163</v>
      </c>
      <c r="B38" s="37"/>
      <c r="C38" s="37"/>
    </row>
    <row r="39" spans="1:3" ht="27.75" customHeight="1" x14ac:dyDescent="0.3">
      <c r="A39" s="32" t="s">
        <v>164</v>
      </c>
      <c r="B39" s="38" t="s">
        <v>165</v>
      </c>
      <c r="C39" s="32" t="s">
        <v>6</v>
      </c>
    </row>
    <row r="40" spans="1:3" ht="14.25" customHeight="1" x14ac:dyDescent="0.3">
      <c r="A40" s="37" t="s">
        <v>166</v>
      </c>
      <c r="B40" s="34">
        <v>0.91</v>
      </c>
      <c r="C40" s="39" t="s">
        <v>167</v>
      </c>
    </row>
    <row r="41" spans="1:3" ht="14.25" customHeight="1" x14ac:dyDescent="0.3">
      <c r="A41" s="37" t="s">
        <v>168</v>
      </c>
      <c r="B41" s="34">
        <v>1.55</v>
      </c>
      <c r="C41" s="39" t="s">
        <v>169</v>
      </c>
    </row>
    <row r="42" spans="1:3" ht="14.25" customHeight="1" x14ac:dyDescent="0.3">
      <c r="A42" s="37" t="s">
        <v>170</v>
      </c>
      <c r="B42" s="34">
        <v>1.9</v>
      </c>
      <c r="C42" s="39" t="s">
        <v>171</v>
      </c>
    </row>
    <row r="43" spans="1:3" ht="14.25" customHeight="1" x14ac:dyDescent="0.3">
      <c r="A43" s="37" t="s">
        <v>172</v>
      </c>
      <c r="B43" s="34">
        <v>2.75</v>
      </c>
      <c r="C43" s="39" t="s">
        <v>173</v>
      </c>
    </row>
    <row r="44" spans="1:3" ht="54.75" customHeight="1" x14ac:dyDescent="0.3">
      <c r="A44" s="37" t="s">
        <v>174</v>
      </c>
      <c r="B44" s="34">
        <v>3.65</v>
      </c>
      <c r="C44" s="39" t="s">
        <v>175</v>
      </c>
    </row>
    <row r="45" spans="1:3" ht="45" customHeight="1" x14ac:dyDescent="0.3">
      <c r="A45" s="37" t="s">
        <v>176</v>
      </c>
      <c r="B45" s="34">
        <v>8.75</v>
      </c>
      <c r="C45" s="39" t="s">
        <v>177</v>
      </c>
    </row>
    <row r="46" spans="1:3" ht="14.25" customHeight="1" x14ac:dyDescent="0.3">
      <c r="A46" s="37"/>
      <c r="B46" s="37"/>
      <c r="C46" s="37"/>
    </row>
    <row r="47" spans="1:3" ht="81.75" customHeight="1" x14ac:dyDescent="0.3">
      <c r="A47" s="37" t="s">
        <v>178</v>
      </c>
      <c r="B47" s="34" t="s">
        <v>166</v>
      </c>
      <c r="C47" s="39" t="s">
        <v>179</v>
      </c>
    </row>
    <row r="48" spans="1:3" ht="14.25" customHeight="1" x14ac:dyDescent="0.3">
      <c r="A48" s="3" t="s">
        <v>180</v>
      </c>
      <c r="B48" s="40">
        <f>INDEX(B40:B45,MATCH(B47,A40:A45,0))</f>
        <v>0.91</v>
      </c>
      <c r="C48" s="37"/>
    </row>
    <row r="49" spans="1:5" x14ac:dyDescent="0.3">
      <c r="A49" s="37"/>
      <c r="B49" s="41"/>
      <c r="C49" s="37"/>
    </row>
    <row r="50" spans="1:5" ht="14.25" customHeight="1" x14ac:dyDescent="0.3">
      <c r="A50" s="31" t="s">
        <v>181</v>
      </c>
      <c r="B50" s="37"/>
      <c r="C50" s="37"/>
    </row>
    <row r="51" spans="1:5" ht="14.25" customHeight="1" x14ac:dyDescent="0.3">
      <c r="A51" s="32" t="s">
        <v>3</v>
      </c>
      <c r="B51" s="38" t="s">
        <v>121</v>
      </c>
      <c r="C51" s="32" t="s">
        <v>6</v>
      </c>
    </row>
    <row r="52" spans="1:5" ht="57" customHeight="1" x14ac:dyDescent="0.3">
      <c r="A52" s="37" t="s">
        <v>182</v>
      </c>
      <c r="B52" s="34">
        <v>33</v>
      </c>
      <c r="C52" s="39" t="s">
        <v>183</v>
      </c>
    </row>
    <row r="53" spans="1:5" ht="54.75" customHeight="1" x14ac:dyDescent="0.3">
      <c r="A53" s="37" t="s">
        <v>184</v>
      </c>
      <c r="B53" s="34">
        <v>25</v>
      </c>
      <c r="C53" s="37"/>
    </row>
    <row r="54" spans="1:5" x14ac:dyDescent="0.3">
      <c r="A54" s="3" t="s">
        <v>185</v>
      </c>
      <c r="B54" s="40">
        <f>B52/B53</f>
        <v>1.32</v>
      </c>
      <c r="C54" s="37"/>
    </row>
    <row r="55" spans="1:5" ht="114.75" customHeight="1" x14ac:dyDescent="0.3">
      <c r="A55" s="37" t="s">
        <v>186</v>
      </c>
      <c r="B55" s="34">
        <v>3</v>
      </c>
      <c r="C55" s="39" t="s">
        <v>187</v>
      </c>
    </row>
    <row r="56" spans="1:5" ht="60" customHeight="1" x14ac:dyDescent="0.3">
      <c r="A56" s="3" t="s">
        <v>188</v>
      </c>
      <c r="B56">
        <f>B54/3</f>
        <v>0.44</v>
      </c>
      <c r="D56" t="s">
        <v>208</v>
      </c>
      <c r="E56" t="s">
        <v>303</v>
      </c>
    </row>
    <row r="57" spans="1:5" x14ac:dyDescent="0.3">
      <c r="A57" s="37"/>
      <c r="B57" s="37"/>
      <c r="C57" s="37"/>
    </row>
    <row r="58" spans="1:5" x14ac:dyDescent="0.3">
      <c r="A58" s="3" t="s">
        <v>189</v>
      </c>
      <c r="B58" s="40">
        <f>B30+B48+B56+B36</f>
        <v>2.1999999999999997</v>
      </c>
      <c r="C58" s="37"/>
      <c r="D58" s="66">
        <f>B58-B12-B13+0.65</f>
        <v>2.1999999999999997</v>
      </c>
      <c r="E58" s="66">
        <f>B58-B12+0.48</f>
        <v>2.3549999999999995</v>
      </c>
    </row>
    <row r="59" spans="1:5" x14ac:dyDescent="0.3">
      <c r="A59" s="37" t="s">
        <v>190</v>
      </c>
      <c r="B59" s="42">
        <f>B58/B7</f>
        <v>0.54999999999999993</v>
      </c>
      <c r="C59" s="37"/>
    </row>
    <row r="60" spans="1:5" x14ac:dyDescent="0.3">
      <c r="A60" s="37"/>
      <c r="B60" s="37"/>
      <c r="C60" s="37"/>
    </row>
    <row r="61" spans="1:5" ht="186.75" customHeight="1" x14ac:dyDescent="0.3">
      <c r="A61" s="39" t="s">
        <v>191</v>
      </c>
    </row>
    <row r="63" spans="1:5" x14ac:dyDescent="0.3">
      <c r="A63" s="31" t="s">
        <v>192</v>
      </c>
    </row>
    <row r="64" spans="1:5" x14ac:dyDescent="0.3">
      <c r="A64" s="32" t="s">
        <v>3</v>
      </c>
      <c r="B64" s="32" t="s">
        <v>121</v>
      </c>
      <c r="C64" s="32" t="s">
        <v>6</v>
      </c>
    </row>
    <row r="65" spans="1:3" x14ac:dyDescent="0.3">
      <c r="A65" s="37" t="s">
        <v>193</v>
      </c>
      <c r="B65" s="43">
        <f>'Recurring Overhead'!B35</f>
        <v>6.7189999999999994</v>
      </c>
      <c r="C65" s="2" t="s">
        <v>194</v>
      </c>
    </row>
    <row r="66" spans="1:3" x14ac:dyDescent="0.3">
      <c r="A66" s="37" t="s">
        <v>195</v>
      </c>
      <c r="B66" s="41">
        <f>B65*B7</f>
        <v>26.875999999999998</v>
      </c>
    </row>
    <row r="68" spans="1:3" x14ac:dyDescent="0.3">
      <c r="A68" s="3" t="s">
        <v>196</v>
      </c>
      <c r="B68" s="40">
        <f>B58+B66</f>
        <v>29.075999999999997</v>
      </c>
    </row>
    <row r="69" spans="1:3" x14ac:dyDescent="0.3">
      <c r="A69" s="37" t="s">
        <v>197</v>
      </c>
      <c r="B69" s="42">
        <f>B68/B7</f>
        <v>7.2689999999999992</v>
      </c>
    </row>
    <row r="71" spans="1:3" x14ac:dyDescent="0.3">
      <c r="A71" s="70" t="s">
        <v>198</v>
      </c>
      <c r="B71" s="69"/>
      <c r="C71" s="69"/>
    </row>
  </sheetData>
  <mergeCells count="1">
    <mergeCell ref="A71:C7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5"/>
  <sheetViews>
    <sheetView zoomScaleNormal="100" workbookViewId="0">
      <selection activeCell="E14" sqref="E14"/>
    </sheetView>
  </sheetViews>
  <sheetFormatPr defaultColWidth="8.6640625" defaultRowHeight="14.4" x14ac:dyDescent="0.3"/>
  <cols>
    <col min="1" max="1" width="46" customWidth="1"/>
    <col min="2" max="2" width="18" customWidth="1"/>
    <col min="3" max="3" width="30" customWidth="1"/>
    <col min="4" max="4" width="55" customWidth="1"/>
  </cols>
  <sheetData>
    <row r="1" spans="1:5" ht="17.399999999999999" customHeight="1" x14ac:dyDescent="0.3">
      <c r="A1" s="4" t="s">
        <v>0</v>
      </c>
    </row>
    <row r="2" spans="1:5" x14ac:dyDescent="0.3">
      <c r="A2" s="68" t="s">
        <v>1</v>
      </c>
      <c r="B2" s="69"/>
      <c r="C2" s="69"/>
      <c r="D2" s="69"/>
    </row>
    <row r="4" spans="1:5" x14ac:dyDescent="0.3">
      <c r="A4" s="12" t="s">
        <v>2</v>
      </c>
    </row>
    <row r="5" spans="1:5" x14ac:dyDescent="0.3">
      <c r="A5" s="16" t="s">
        <v>3</v>
      </c>
      <c r="B5" s="16" t="s">
        <v>4</v>
      </c>
      <c r="C5" s="16" t="s">
        <v>5</v>
      </c>
      <c r="D5" s="16" t="s">
        <v>6</v>
      </c>
      <c r="E5" s="16" t="s">
        <v>199</v>
      </c>
    </row>
    <row r="6" spans="1:5" ht="16.8" customHeight="1" x14ac:dyDescent="0.3">
      <c r="A6" s="52" t="s">
        <v>7</v>
      </c>
      <c r="B6" s="18">
        <v>8.9</v>
      </c>
      <c r="C6" s="17" t="s">
        <v>8</v>
      </c>
      <c r="D6" s="1" t="s">
        <v>9</v>
      </c>
      <c r="E6">
        <f>B6*6</f>
        <v>53.400000000000006</v>
      </c>
    </row>
    <row r="7" spans="1:5" x14ac:dyDescent="0.3">
      <c r="A7" s="53" t="s">
        <v>10</v>
      </c>
      <c r="B7" s="18">
        <v>14.09</v>
      </c>
      <c r="C7" s="17" t="s">
        <v>8</v>
      </c>
      <c r="D7" s="1" t="s">
        <v>11</v>
      </c>
      <c r="E7">
        <f>B7*6</f>
        <v>84.539999999999992</v>
      </c>
    </row>
    <row r="8" spans="1:5" x14ac:dyDescent="0.3">
      <c r="A8" s="17" t="s">
        <v>12</v>
      </c>
      <c r="B8" s="18">
        <v>32.4</v>
      </c>
      <c r="C8" s="17" t="s">
        <v>13</v>
      </c>
      <c r="D8" s="1" t="s">
        <v>14</v>
      </c>
      <c r="E8">
        <f>B8*12</f>
        <v>388.79999999999995</v>
      </c>
    </row>
    <row r="9" spans="1:5" x14ac:dyDescent="0.3">
      <c r="A9" s="17" t="s">
        <v>305</v>
      </c>
      <c r="B9" s="18"/>
      <c r="C9" s="17"/>
      <c r="D9" s="1"/>
      <c r="E9">
        <v>30</v>
      </c>
    </row>
    <row r="10" spans="1:5" x14ac:dyDescent="0.3">
      <c r="A10" s="17" t="s">
        <v>304</v>
      </c>
      <c r="B10" s="18">
        <v>11.8</v>
      </c>
      <c r="C10" s="17"/>
      <c r="D10" s="1"/>
      <c r="E10">
        <f>B10*12</f>
        <v>141.60000000000002</v>
      </c>
    </row>
    <row r="11" spans="1:5" x14ac:dyDescent="0.3">
      <c r="A11" s="17" t="s">
        <v>15</v>
      </c>
      <c r="B11" s="18">
        <v>0</v>
      </c>
      <c r="C11" s="17" t="s">
        <v>13</v>
      </c>
      <c r="D11" s="1" t="s">
        <v>16</v>
      </c>
    </row>
    <row r="12" spans="1:5" x14ac:dyDescent="0.3">
      <c r="A12" s="17" t="s">
        <v>307</v>
      </c>
      <c r="B12" s="18"/>
      <c r="C12" s="17"/>
      <c r="D12" s="1"/>
      <c r="E12">
        <v>250</v>
      </c>
    </row>
    <row r="13" spans="1:5" x14ac:dyDescent="0.3">
      <c r="A13" s="19" t="s">
        <v>17</v>
      </c>
      <c r="B13" s="20">
        <f>SUM(B6:B11)</f>
        <v>67.19</v>
      </c>
      <c r="E13">
        <f>SUM(E6:E12)</f>
        <v>948.34</v>
      </c>
    </row>
    <row r="15" spans="1:5" x14ac:dyDescent="0.3">
      <c r="A15" s="12" t="s">
        <v>18</v>
      </c>
    </row>
    <row r="16" spans="1:5" x14ac:dyDescent="0.3">
      <c r="A16" s="68" t="s">
        <v>19</v>
      </c>
      <c r="B16" s="69"/>
      <c r="C16" s="69"/>
      <c r="D16" s="69"/>
    </row>
    <row r="18" spans="1:4" x14ac:dyDescent="0.3">
      <c r="A18" s="16" t="s">
        <v>20</v>
      </c>
      <c r="B18" s="16" t="s">
        <v>21</v>
      </c>
      <c r="C18" s="16" t="s">
        <v>22</v>
      </c>
      <c r="D18" s="16" t="s">
        <v>23</v>
      </c>
    </row>
    <row r="19" spans="1:4" x14ac:dyDescent="0.3">
      <c r="A19" s="17" t="s">
        <v>24</v>
      </c>
      <c r="B19" s="44">
        <v>10</v>
      </c>
      <c r="C19" s="17" t="s">
        <v>25</v>
      </c>
      <c r="D19" s="1" t="s">
        <v>26</v>
      </c>
    </row>
    <row r="20" spans="1:4" x14ac:dyDescent="0.3">
      <c r="A20" s="17" t="s">
        <v>27</v>
      </c>
      <c r="B20" s="44">
        <v>40</v>
      </c>
      <c r="C20" s="17" t="s">
        <v>28</v>
      </c>
      <c r="D20" s="1" t="s">
        <v>29</v>
      </c>
    </row>
    <row r="21" spans="1:4" x14ac:dyDescent="0.3">
      <c r="A21" s="17" t="s">
        <v>30</v>
      </c>
      <c r="B21" s="45">
        <f>B23</f>
        <v>1</v>
      </c>
      <c r="C21" s="17" t="s">
        <v>31</v>
      </c>
      <c r="D21" s="1" t="s">
        <v>32</v>
      </c>
    </row>
    <row r="23" spans="1:4" x14ac:dyDescent="0.3">
      <c r="A23" s="17" t="s">
        <v>33</v>
      </c>
      <c r="B23" s="46">
        <v>1</v>
      </c>
      <c r="D23" s="1" t="s">
        <v>34</v>
      </c>
    </row>
    <row r="24" spans="1:4" x14ac:dyDescent="0.3">
      <c r="A24" s="17" t="s">
        <v>35</v>
      </c>
      <c r="B24" s="45">
        <f>IFERROR(B23*4.33/(45/60)*20,0)</f>
        <v>115.46666666666667</v>
      </c>
      <c r="D24" s="1" t="s">
        <v>36</v>
      </c>
    </row>
    <row r="26" spans="1:4" x14ac:dyDescent="0.3">
      <c r="A26" s="12" t="s">
        <v>37</v>
      </c>
    </row>
    <row r="27" spans="1:4" x14ac:dyDescent="0.3">
      <c r="A27" s="16" t="s">
        <v>20</v>
      </c>
      <c r="B27" s="16" t="s">
        <v>38</v>
      </c>
    </row>
    <row r="28" spans="1:4" x14ac:dyDescent="0.3">
      <c r="A28" s="17" t="s">
        <v>24</v>
      </c>
      <c r="B28" s="27">
        <f>IFERROR($B$13/B19,0)</f>
        <v>6.7189999999999994</v>
      </c>
    </row>
    <row r="29" spans="1:4" x14ac:dyDescent="0.3">
      <c r="A29" s="17" t="s">
        <v>27</v>
      </c>
      <c r="B29" s="27">
        <f>IFERROR($B$13/B20,0)</f>
        <v>1.6797499999999999</v>
      </c>
    </row>
    <row r="30" spans="1:4" x14ac:dyDescent="0.3">
      <c r="A30" s="17" t="s">
        <v>30</v>
      </c>
      <c r="B30" s="27">
        <f>IFERROR($B$13/B21,0)</f>
        <v>67.19</v>
      </c>
    </row>
    <row r="32" spans="1:4" x14ac:dyDescent="0.3">
      <c r="A32" s="12" t="s">
        <v>39</v>
      </c>
    </row>
    <row r="33" spans="1:4" x14ac:dyDescent="0.3">
      <c r="A33" s="17" t="s">
        <v>40</v>
      </c>
      <c r="B33" s="47" t="s">
        <v>24</v>
      </c>
      <c r="D33" s="1" t="s">
        <v>41</v>
      </c>
    </row>
    <row r="34" spans="1:4" x14ac:dyDescent="0.3">
      <c r="A34" s="17" t="s">
        <v>42</v>
      </c>
      <c r="B34" s="45">
        <f>INDEX(B19:B21,MATCH(B33,A19:A21,0))</f>
        <v>10</v>
      </c>
    </row>
    <row r="35" spans="1:4" x14ac:dyDescent="0.3">
      <c r="A35" s="19" t="s">
        <v>43</v>
      </c>
      <c r="B35" s="20">
        <f>IFERROR($B$13/B34,0)</f>
        <v>6.7189999999999994</v>
      </c>
    </row>
  </sheetData>
  <mergeCells count="2">
    <mergeCell ref="A16:D16"/>
    <mergeCell ref="A2:D2"/>
  </mergeCells>
  <dataValidations count="1">
    <dataValidation type="list" sqref="B33" xr:uid="{00000000-0002-0000-0200-000000000000}">
      <formula1>"Conservative,Base / Target,Optimistic / Capacity ceiling"</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EB3B2-BEC6-4259-8327-12EE41C40AEF}">
  <dimension ref="A1:M22"/>
  <sheetViews>
    <sheetView workbookViewId="0">
      <selection activeCell="B12" sqref="B12:E12"/>
    </sheetView>
  </sheetViews>
  <sheetFormatPr defaultRowHeight="14.4" x14ac:dyDescent="0.3"/>
  <cols>
    <col min="1" max="1" width="9.6640625" bestFit="1" customWidth="1"/>
    <col min="5" max="5" width="12.109375" bestFit="1" customWidth="1"/>
    <col min="9" max="9" width="9.6640625" bestFit="1" customWidth="1"/>
  </cols>
  <sheetData>
    <row r="1" spans="1:13" x14ac:dyDescent="0.3">
      <c r="A1" t="s">
        <v>200</v>
      </c>
      <c r="B1" t="s">
        <v>84</v>
      </c>
      <c r="C1" t="s">
        <v>201</v>
      </c>
      <c r="D1" t="s">
        <v>202</v>
      </c>
      <c r="E1" t="s">
        <v>203</v>
      </c>
      <c r="I1" t="s">
        <v>209</v>
      </c>
      <c r="J1" t="s">
        <v>84</v>
      </c>
      <c r="K1" t="s">
        <v>209</v>
      </c>
      <c r="L1" t="s">
        <v>210</v>
      </c>
      <c r="M1" t="s">
        <v>211</v>
      </c>
    </row>
    <row r="2" spans="1:13" x14ac:dyDescent="0.3">
      <c r="A2" t="s">
        <v>204</v>
      </c>
      <c r="I2" t="s">
        <v>204</v>
      </c>
    </row>
    <row r="3" spans="1:13" x14ac:dyDescent="0.3">
      <c r="A3" t="s">
        <v>205</v>
      </c>
      <c r="B3">
        <v>10</v>
      </c>
      <c r="C3">
        <v>6.5</v>
      </c>
      <c r="E3">
        <f>C3/B3</f>
        <v>0.65</v>
      </c>
      <c r="I3" t="s">
        <v>205</v>
      </c>
      <c r="J3">
        <v>25</v>
      </c>
      <c r="K3">
        <f>C4+C14</f>
        <v>25.9</v>
      </c>
      <c r="L3">
        <f>K3/J3</f>
        <v>1.036</v>
      </c>
    </row>
    <row r="4" spans="1:13" x14ac:dyDescent="0.3">
      <c r="A4" t="s">
        <v>205</v>
      </c>
      <c r="B4">
        <v>25</v>
      </c>
      <c r="C4">
        <v>13.25</v>
      </c>
      <c r="E4">
        <f t="shared" ref="E4:E22" si="0">C4/B4</f>
        <v>0.53</v>
      </c>
      <c r="I4" t="s">
        <v>205</v>
      </c>
      <c r="J4">
        <v>50</v>
      </c>
      <c r="K4">
        <f>C5+C15</f>
        <v>46.15</v>
      </c>
      <c r="L4">
        <f t="shared" ref="L4:L12" si="1">K4/J4</f>
        <v>0.92299999999999993</v>
      </c>
      <c r="M4">
        <f>L3-L4</f>
        <v>0.1130000000000001</v>
      </c>
    </row>
    <row r="5" spans="1:13" x14ac:dyDescent="0.3">
      <c r="A5" t="s">
        <v>205</v>
      </c>
      <c r="B5">
        <v>50</v>
      </c>
      <c r="C5">
        <v>22.5</v>
      </c>
      <c r="E5">
        <f t="shared" si="0"/>
        <v>0.45</v>
      </c>
      <c r="I5" t="s">
        <v>205</v>
      </c>
      <c r="J5">
        <v>100</v>
      </c>
      <c r="K5">
        <f>C6+C16</f>
        <v>87</v>
      </c>
      <c r="L5" s="54">
        <f t="shared" si="1"/>
        <v>0.87</v>
      </c>
      <c r="M5">
        <f t="shared" ref="M5:M12" si="2">L4-L5</f>
        <v>5.2999999999999936E-2</v>
      </c>
    </row>
    <row r="6" spans="1:13" x14ac:dyDescent="0.3">
      <c r="A6" t="s">
        <v>205</v>
      </c>
      <c r="B6">
        <v>100</v>
      </c>
      <c r="C6">
        <v>43</v>
      </c>
      <c r="E6">
        <f t="shared" si="0"/>
        <v>0.43</v>
      </c>
      <c r="I6" t="s">
        <v>205</v>
      </c>
      <c r="J6">
        <v>200</v>
      </c>
      <c r="K6">
        <f>C7+C17</f>
        <v>165.5</v>
      </c>
      <c r="L6">
        <f>K6/J6</f>
        <v>0.82750000000000001</v>
      </c>
      <c r="M6">
        <f t="shared" si="2"/>
        <v>4.2499999999999982E-2</v>
      </c>
    </row>
    <row r="7" spans="1:13" x14ac:dyDescent="0.3">
      <c r="A7" t="s">
        <v>205</v>
      </c>
      <c r="B7">
        <v>200</v>
      </c>
      <c r="C7">
        <v>80</v>
      </c>
      <c r="E7">
        <f t="shared" si="0"/>
        <v>0.4</v>
      </c>
      <c r="I7" t="s">
        <v>205</v>
      </c>
      <c r="J7">
        <v>500</v>
      </c>
      <c r="K7">
        <f>C8+C18</f>
        <v>384</v>
      </c>
      <c r="L7">
        <f t="shared" si="1"/>
        <v>0.76800000000000002</v>
      </c>
      <c r="M7">
        <f t="shared" si="2"/>
        <v>5.9499999999999997E-2</v>
      </c>
    </row>
    <row r="8" spans="1:13" x14ac:dyDescent="0.3">
      <c r="A8" t="s">
        <v>205</v>
      </c>
      <c r="B8">
        <v>500</v>
      </c>
      <c r="C8">
        <v>175</v>
      </c>
      <c r="E8">
        <f t="shared" si="0"/>
        <v>0.35</v>
      </c>
      <c r="I8" t="s">
        <v>206</v>
      </c>
      <c r="J8">
        <v>25</v>
      </c>
      <c r="K8">
        <f>C10+C14</f>
        <v>28.9</v>
      </c>
      <c r="L8">
        <f>K8/J8</f>
        <v>1.1559999999999999</v>
      </c>
      <c r="M8">
        <f t="shared" si="2"/>
        <v>-0.3879999999999999</v>
      </c>
    </row>
    <row r="9" spans="1:13" x14ac:dyDescent="0.3">
      <c r="A9" t="s">
        <v>206</v>
      </c>
      <c r="B9">
        <v>10</v>
      </c>
      <c r="C9">
        <v>7.5</v>
      </c>
      <c r="E9">
        <f t="shared" si="0"/>
        <v>0.75</v>
      </c>
      <c r="I9" t="s">
        <v>206</v>
      </c>
      <c r="J9">
        <v>50</v>
      </c>
      <c r="K9">
        <f>C11+C15</f>
        <v>51.15</v>
      </c>
      <c r="L9">
        <f>K9/J9</f>
        <v>1.0229999999999999</v>
      </c>
      <c r="M9">
        <f t="shared" si="2"/>
        <v>0.13300000000000001</v>
      </c>
    </row>
    <row r="10" spans="1:13" x14ac:dyDescent="0.3">
      <c r="B10">
        <v>25</v>
      </c>
      <c r="C10">
        <v>16.25</v>
      </c>
      <c r="E10">
        <f t="shared" si="0"/>
        <v>0.65</v>
      </c>
      <c r="I10" t="s">
        <v>206</v>
      </c>
      <c r="J10">
        <v>100</v>
      </c>
      <c r="K10">
        <f>C12+C16</f>
        <v>92</v>
      </c>
      <c r="L10" s="54">
        <f>K10/J10</f>
        <v>0.92</v>
      </c>
      <c r="M10">
        <f t="shared" si="2"/>
        <v>0.10299999999999987</v>
      </c>
    </row>
    <row r="11" spans="1:13" x14ac:dyDescent="0.3">
      <c r="B11">
        <v>50</v>
      </c>
      <c r="C11">
        <v>27.5</v>
      </c>
      <c r="E11">
        <f t="shared" si="0"/>
        <v>0.55000000000000004</v>
      </c>
      <c r="I11" t="s">
        <v>206</v>
      </c>
      <c r="J11">
        <v>200</v>
      </c>
      <c r="K11">
        <f>2*C12+C17</f>
        <v>181.5</v>
      </c>
      <c r="L11">
        <f>K11/J11</f>
        <v>0.90749999999999997</v>
      </c>
      <c r="M11">
        <f t="shared" si="2"/>
        <v>1.2500000000000067E-2</v>
      </c>
    </row>
    <row r="12" spans="1:13" x14ac:dyDescent="0.3">
      <c r="B12">
        <v>100</v>
      </c>
      <c r="C12">
        <v>48</v>
      </c>
      <c r="E12">
        <f t="shared" si="0"/>
        <v>0.48</v>
      </c>
      <c r="I12" t="s">
        <v>206</v>
      </c>
      <c r="J12">
        <v>500</v>
      </c>
      <c r="K12">
        <f>5*C12+C18</f>
        <v>449</v>
      </c>
      <c r="L12">
        <f t="shared" si="1"/>
        <v>0.89800000000000002</v>
      </c>
      <c r="M12">
        <f t="shared" si="2"/>
        <v>9.4999999999999529E-3</v>
      </c>
    </row>
    <row r="13" spans="1:13" x14ac:dyDescent="0.3">
      <c r="A13" t="s">
        <v>207</v>
      </c>
      <c r="B13">
        <v>10</v>
      </c>
      <c r="C13">
        <v>5.5</v>
      </c>
      <c r="E13">
        <f t="shared" si="0"/>
        <v>0.55000000000000004</v>
      </c>
      <c r="I13" t="s">
        <v>208</v>
      </c>
      <c r="J13">
        <v>20</v>
      </c>
      <c r="K13">
        <f>C20+C22</f>
        <v>13</v>
      </c>
      <c r="L13">
        <f>K13/J13</f>
        <v>0.65</v>
      </c>
    </row>
    <row r="14" spans="1:13" x14ac:dyDescent="0.3">
      <c r="B14">
        <v>25</v>
      </c>
      <c r="C14">
        <v>12.65</v>
      </c>
      <c r="E14">
        <f t="shared" si="0"/>
        <v>0.50600000000000001</v>
      </c>
      <c r="I14" t="s">
        <v>208</v>
      </c>
      <c r="J14">
        <v>60</v>
      </c>
      <c r="K14">
        <f>K13*3</f>
        <v>39</v>
      </c>
      <c r="L14">
        <f>K14/J14</f>
        <v>0.65</v>
      </c>
    </row>
    <row r="15" spans="1:13" x14ac:dyDescent="0.3">
      <c r="B15">
        <v>50</v>
      </c>
      <c r="C15">
        <v>23.65</v>
      </c>
      <c r="E15">
        <f t="shared" si="0"/>
        <v>0.47299999999999998</v>
      </c>
      <c r="I15" t="s">
        <v>208</v>
      </c>
      <c r="J15">
        <v>100</v>
      </c>
      <c r="K15">
        <f>K13*5</f>
        <v>65</v>
      </c>
      <c r="L15" s="54">
        <f>K15/J15</f>
        <v>0.65</v>
      </c>
    </row>
    <row r="16" spans="1:13" x14ac:dyDescent="0.3">
      <c r="B16">
        <v>100</v>
      </c>
      <c r="C16">
        <v>44</v>
      </c>
      <c r="E16">
        <f t="shared" si="0"/>
        <v>0.44</v>
      </c>
    </row>
    <row r="17" spans="1:5" x14ac:dyDescent="0.3">
      <c r="B17">
        <v>200</v>
      </c>
      <c r="C17">
        <v>85.5</v>
      </c>
      <c r="E17">
        <f t="shared" si="0"/>
        <v>0.42749999999999999</v>
      </c>
    </row>
    <row r="18" spans="1:5" x14ac:dyDescent="0.3">
      <c r="B18">
        <v>500</v>
      </c>
      <c r="C18">
        <v>209</v>
      </c>
      <c r="E18">
        <f t="shared" si="0"/>
        <v>0.41799999999999998</v>
      </c>
    </row>
    <row r="19" spans="1:5" x14ac:dyDescent="0.3">
      <c r="A19" t="s">
        <v>208</v>
      </c>
    </row>
    <row r="20" spans="1:5" x14ac:dyDescent="0.3">
      <c r="A20" t="s">
        <v>205</v>
      </c>
      <c r="B20">
        <v>20</v>
      </c>
      <c r="C20">
        <v>6.5</v>
      </c>
      <c r="E20">
        <f t="shared" si="0"/>
        <v>0.32500000000000001</v>
      </c>
    </row>
    <row r="21" spans="1:5" x14ac:dyDescent="0.3">
      <c r="A21" t="s">
        <v>206</v>
      </c>
      <c r="B21">
        <v>20</v>
      </c>
      <c r="C21">
        <v>6.5</v>
      </c>
      <c r="E21">
        <f t="shared" si="0"/>
        <v>0.32500000000000001</v>
      </c>
    </row>
    <row r="22" spans="1:5" x14ac:dyDescent="0.3">
      <c r="A22" t="s">
        <v>207</v>
      </c>
      <c r="B22">
        <v>20</v>
      </c>
      <c r="C22">
        <v>6.5</v>
      </c>
      <c r="E22">
        <f t="shared" si="0"/>
        <v>0.32500000000000001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F47D8-BBF7-4C16-BA97-853C39F2E503}">
  <dimension ref="A1:E24"/>
  <sheetViews>
    <sheetView workbookViewId="0">
      <selection activeCell="B6" sqref="B6"/>
    </sheetView>
  </sheetViews>
  <sheetFormatPr defaultRowHeight="14.4" x14ac:dyDescent="0.3"/>
  <cols>
    <col min="1" max="1" width="77.21875" customWidth="1"/>
  </cols>
  <sheetData>
    <row r="1" spans="1:5" x14ac:dyDescent="0.3">
      <c r="A1" s="55" t="s">
        <v>212</v>
      </c>
    </row>
    <row r="2" spans="1:5" x14ac:dyDescent="0.3">
      <c r="A2" s="56" t="s">
        <v>213</v>
      </c>
    </row>
    <row r="4" spans="1:5" x14ac:dyDescent="0.3">
      <c r="A4" s="57" t="s">
        <v>3</v>
      </c>
      <c r="B4" s="57" t="s">
        <v>121</v>
      </c>
      <c r="C4" s="57" t="s">
        <v>6</v>
      </c>
    </row>
    <row r="5" spans="1:5" x14ac:dyDescent="0.3">
      <c r="A5" s="58" t="s">
        <v>214</v>
      </c>
      <c r="B5" s="59">
        <v>3.1</v>
      </c>
      <c r="C5" s="56" t="s">
        <v>215</v>
      </c>
    </row>
    <row r="6" spans="1:5" x14ac:dyDescent="0.3">
      <c r="A6" s="58" t="s">
        <v>216</v>
      </c>
      <c r="B6" s="60">
        <v>0.04</v>
      </c>
      <c r="C6" s="56" t="s">
        <v>217</v>
      </c>
    </row>
    <row r="7" spans="1:5" x14ac:dyDescent="0.3">
      <c r="A7" s="58" t="s">
        <v>218</v>
      </c>
      <c r="B7" s="60">
        <v>0.128</v>
      </c>
      <c r="C7" s="56" t="s">
        <v>219</v>
      </c>
    </row>
    <row r="8" spans="1:5" x14ac:dyDescent="0.3">
      <c r="A8" s="58" t="s">
        <v>220</v>
      </c>
      <c r="B8" s="59">
        <v>0.3</v>
      </c>
      <c r="C8" s="56" t="s">
        <v>221</v>
      </c>
    </row>
    <row r="9" spans="1:5" x14ac:dyDescent="0.3">
      <c r="A9" s="58" t="s">
        <v>222</v>
      </c>
      <c r="B9" s="60">
        <v>4.0000000000000001E-3</v>
      </c>
      <c r="C9" s="56" t="s">
        <v>223</v>
      </c>
    </row>
    <row r="11" spans="1:5" x14ac:dyDescent="0.3">
      <c r="A11" s="55" t="s">
        <v>224</v>
      </c>
      <c r="D11">
        <v>3.9</v>
      </c>
      <c r="E11">
        <v>4</v>
      </c>
    </row>
    <row r="12" spans="1:5" x14ac:dyDescent="0.3">
      <c r="A12" s="58" t="s">
        <v>225</v>
      </c>
      <c r="B12" s="61">
        <v>0.12</v>
      </c>
      <c r="C12">
        <f>B6*B5</f>
        <v>0.12400000000000001</v>
      </c>
      <c r="D12">
        <f>B6*D11</f>
        <v>0.156</v>
      </c>
      <c r="E12">
        <f>B6*E11</f>
        <v>0.16</v>
      </c>
    </row>
    <row r="13" spans="1:5" x14ac:dyDescent="0.3">
      <c r="A13" s="58" t="s">
        <v>226</v>
      </c>
      <c r="B13" s="61">
        <v>0.38400000000000001</v>
      </c>
      <c r="C13">
        <f>B7*B5</f>
        <v>0.39680000000000004</v>
      </c>
      <c r="D13">
        <f>B7*D11</f>
        <v>0.49919999999999998</v>
      </c>
      <c r="E13">
        <f>B7*E11</f>
        <v>0.51200000000000001</v>
      </c>
    </row>
    <row r="14" spans="1:5" x14ac:dyDescent="0.3">
      <c r="A14" s="58" t="s">
        <v>227</v>
      </c>
      <c r="B14" s="61">
        <v>1.2E-2</v>
      </c>
      <c r="C14">
        <f>B9*B5</f>
        <v>1.2400000000000001E-2</v>
      </c>
      <c r="D14">
        <f>B9*D11</f>
        <v>1.5599999999999999E-2</v>
      </c>
      <c r="E14">
        <f>B8*E13</f>
        <v>0.15359999999999999</v>
      </c>
    </row>
    <row r="15" spans="1:5" x14ac:dyDescent="0.3">
      <c r="A15" s="58" t="s">
        <v>228</v>
      </c>
      <c r="B15" s="61">
        <v>0.81599999999999995</v>
      </c>
      <c r="C15" s="67">
        <f>SUM(C12:C14)+B8</f>
        <v>0.83319999999999994</v>
      </c>
      <c r="D15" s="67">
        <f>SUM(D12:D14)+B8</f>
        <v>0.97079999999999989</v>
      </c>
      <c r="E15">
        <f>B9*E14</f>
        <v>6.1439999999999997E-4</v>
      </c>
    </row>
    <row r="16" spans="1:5" x14ac:dyDescent="0.3">
      <c r="A16" s="58" t="s">
        <v>229</v>
      </c>
      <c r="B16" s="61">
        <v>2.1840000000000002</v>
      </c>
      <c r="C16" s="67">
        <f>B5-C15</f>
        <v>2.2667999999999999</v>
      </c>
      <c r="D16" s="67">
        <f>D11-D15</f>
        <v>2.9291999999999998</v>
      </c>
      <c r="E16">
        <f>B10*E15</f>
        <v>0</v>
      </c>
    </row>
    <row r="17" spans="1:2" x14ac:dyDescent="0.3">
      <c r="A17" s="58" t="s">
        <v>230</v>
      </c>
      <c r="B17" s="62">
        <v>0.27200000000000002</v>
      </c>
    </row>
    <row r="19" spans="1:2" x14ac:dyDescent="0.3">
      <c r="A19" s="55" t="s">
        <v>231</v>
      </c>
    </row>
    <row r="20" spans="1:2" x14ac:dyDescent="0.3">
      <c r="A20" s="58" t="s">
        <v>232</v>
      </c>
      <c r="B20" s="63">
        <v>10</v>
      </c>
    </row>
    <row r="21" spans="1:2" x14ac:dyDescent="0.3">
      <c r="A21" s="58" t="s">
        <v>233</v>
      </c>
      <c r="B21" s="61">
        <v>1.2</v>
      </c>
    </row>
    <row r="22" spans="1:2" x14ac:dyDescent="0.3">
      <c r="A22" s="58" t="s">
        <v>234</v>
      </c>
      <c r="B22" s="61">
        <v>8.16</v>
      </c>
    </row>
    <row r="24" spans="1:2" x14ac:dyDescent="0.3">
      <c r="A24" s="56" t="s">
        <v>235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0FD39-E305-4676-A93E-6B2FD6FBE931}">
  <dimension ref="A1:C33"/>
  <sheetViews>
    <sheetView topLeftCell="A6" workbookViewId="0">
      <selection activeCell="H17" sqref="H17"/>
    </sheetView>
  </sheetViews>
  <sheetFormatPr defaultRowHeight="14.4" x14ac:dyDescent="0.3"/>
  <cols>
    <col min="1" max="1" width="48.44140625" customWidth="1"/>
  </cols>
  <sheetData>
    <row r="1" spans="1:3" ht="17.399999999999999" x14ac:dyDescent="0.3">
      <c r="A1" s="64" t="s">
        <v>236</v>
      </c>
    </row>
    <row r="2" spans="1:3" x14ac:dyDescent="0.3">
      <c r="A2" s="56" t="s">
        <v>237</v>
      </c>
    </row>
    <row r="4" spans="1:3" x14ac:dyDescent="0.3">
      <c r="A4" s="55" t="s">
        <v>238</v>
      </c>
    </row>
    <row r="5" spans="1:3" x14ac:dyDescent="0.3">
      <c r="A5" s="57" t="s">
        <v>3</v>
      </c>
      <c r="B5" s="57" t="s">
        <v>121</v>
      </c>
      <c r="C5" s="57" t="s">
        <v>6</v>
      </c>
    </row>
    <row r="6" spans="1:3" x14ac:dyDescent="0.3">
      <c r="A6" s="58" t="s">
        <v>239</v>
      </c>
      <c r="B6" s="59">
        <v>3</v>
      </c>
      <c r="C6" s="56" t="s">
        <v>240</v>
      </c>
    </row>
    <row r="7" spans="1:3" x14ac:dyDescent="0.3">
      <c r="A7" s="58" t="s">
        <v>241</v>
      </c>
      <c r="B7" s="59">
        <v>0.16</v>
      </c>
      <c r="C7" s="56" t="s">
        <v>242</v>
      </c>
    </row>
    <row r="8" spans="1:3" x14ac:dyDescent="0.3">
      <c r="A8" s="58" t="s">
        <v>243</v>
      </c>
      <c r="B8" s="60">
        <v>6.5000000000000002E-2</v>
      </c>
      <c r="C8" s="56" t="s">
        <v>244</v>
      </c>
    </row>
    <row r="9" spans="1:3" x14ac:dyDescent="0.3">
      <c r="A9" s="58" t="s">
        <v>245</v>
      </c>
      <c r="B9" s="60">
        <v>0.04</v>
      </c>
      <c r="C9" s="56" t="s">
        <v>246</v>
      </c>
    </row>
    <row r="10" spans="1:3" x14ac:dyDescent="0.3">
      <c r="A10" s="58" t="s">
        <v>247</v>
      </c>
      <c r="B10" s="59">
        <v>0.2</v>
      </c>
    </row>
    <row r="11" spans="1:3" x14ac:dyDescent="0.3">
      <c r="A11" s="58" t="s">
        <v>248</v>
      </c>
      <c r="B11" s="60">
        <v>3.2000000000000002E-3</v>
      </c>
      <c r="C11" s="56" t="s">
        <v>249</v>
      </c>
    </row>
    <row r="12" spans="1:3" x14ac:dyDescent="0.3">
      <c r="A12" s="58" t="s">
        <v>250</v>
      </c>
      <c r="B12" s="60">
        <v>0.2</v>
      </c>
      <c r="C12" s="56" t="s">
        <v>251</v>
      </c>
    </row>
    <row r="13" spans="1:3" x14ac:dyDescent="0.3">
      <c r="A13" s="58" t="s">
        <v>252</v>
      </c>
      <c r="B13" s="65" t="s">
        <v>253</v>
      </c>
      <c r="C13" s="56" t="s">
        <v>254</v>
      </c>
    </row>
    <row r="14" spans="1:3" x14ac:dyDescent="0.3">
      <c r="A14" s="58" t="s">
        <v>255</v>
      </c>
      <c r="B14" s="60">
        <v>0.15</v>
      </c>
      <c r="C14" s="56" t="s">
        <v>256</v>
      </c>
    </row>
    <row r="15" spans="1:3" x14ac:dyDescent="0.3">
      <c r="A15" s="58" t="s">
        <v>257</v>
      </c>
      <c r="B15" s="59">
        <v>1</v>
      </c>
      <c r="C15" s="56" t="s">
        <v>258</v>
      </c>
    </row>
    <row r="17" spans="1:3" x14ac:dyDescent="0.3">
      <c r="A17" s="55" t="s">
        <v>259</v>
      </c>
    </row>
    <row r="18" spans="1:3" x14ac:dyDescent="0.3">
      <c r="A18" s="58" t="s">
        <v>260</v>
      </c>
      <c r="B18" s="61">
        <v>0.19500000000000001</v>
      </c>
    </row>
    <row r="19" spans="1:3" x14ac:dyDescent="0.3">
      <c r="A19" s="58" t="s">
        <v>261</v>
      </c>
      <c r="B19" s="61">
        <v>0.32</v>
      </c>
    </row>
    <row r="20" spans="1:3" x14ac:dyDescent="0.3">
      <c r="A20" s="58" t="s">
        <v>262</v>
      </c>
      <c r="B20" s="61">
        <v>9.5999999999999992E-3</v>
      </c>
    </row>
    <row r="21" spans="1:3" x14ac:dyDescent="0.3">
      <c r="A21" s="58" t="s">
        <v>263</v>
      </c>
      <c r="B21" s="61">
        <v>0.68459999999999999</v>
      </c>
    </row>
    <row r="22" spans="1:3" x14ac:dyDescent="0.3">
      <c r="A22" s="58" t="s">
        <v>264</v>
      </c>
      <c r="B22" s="61">
        <v>0.13691999999999999</v>
      </c>
    </row>
    <row r="23" spans="1:3" x14ac:dyDescent="0.3">
      <c r="A23" s="58" t="s">
        <v>265</v>
      </c>
      <c r="B23" s="61">
        <v>0</v>
      </c>
    </row>
    <row r="24" spans="1:3" x14ac:dyDescent="0.3">
      <c r="A24" s="58" t="s">
        <v>266</v>
      </c>
      <c r="B24" s="61">
        <v>0.82152000000000003</v>
      </c>
    </row>
    <row r="25" spans="1:3" x14ac:dyDescent="0.3">
      <c r="A25" s="58" t="s">
        <v>267</v>
      </c>
      <c r="B25" s="61">
        <v>2.17848</v>
      </c>
    </row>
    <row r="26" spans="1:3" x14ac:dyDescent="0.3">
      <c r="A26" s="58" t="s">
        <v>268</v>
      </c>
      <c r="B26" s="62">
        <v>0.27383999999999997</v>
      </c>
    </row>
    <row r="28" spans="1:3" x14ac:dyDescent="0.3">
      <c r="A28" s="55" t="s">
        <v>269</v>
      </c>
    </row>
    <row r="29" spans="1:3" x14ac:dyDescent="0.3">
      <c r="A29" s="58" t="s">
        <v>232</v>
      </c>
      <c r="B29" s="63">
        <v>10</v>
      </c>
    </row>
    <row r="30" spans="1:3" x14ac:dyDescent="0.3">
      <c r="A30" s="58" t="s">
        <v>270</v>
      </c>
      <c r="B30" s="61">
        <v>8.2151999999999994</v>
      </c>
    </row>
    <row r="31" spans="1:3" x14ac:dyDescent="0.3">
      <c r="A31" s="58" t="s">
        <v>271</v>
      </c>
      <c r="B31" s="61">
        <v>30</v>
      </c>
      <c r="C31" s="56" t="s">
        <v>272</v>
      </c>
    </row>
    <row r="33" spans="1:1" x14ac:dyDescent="0.3">
      <c r="A33" s="56" t="s">
        <v>273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8686C-2CC2-4CE9-B8BC-169E12CFA14B}">
  <dimension ref="A1:C29"/>
  <sheetViews>
    <sheetView workbookViewId="0">
      <selection activeCell="K8" sqref="K8"/>
    </sheetView>
  </sheetViews>
  <sheetFormatPr defaultRowHeight="14.4" x14ac:dyDescent="0.3"/>
  <sheetData>
    <row r="1" spans="1:3" ht="17.399999999999999" x14ac:dyDescent="0.3">
      <c r="A1" s="64" t="s">
        <v>274</v>
      </c>
    </row>
    <row r="2" spans="1:3" x14ac:dyDescent="0.3">
      <c r="A2" s="56" t="s">
        <v>275</v>
      </c>
    </row>
    <row r="4" spans="1:3" x14ac:dyDescent="0.3">
      <c r="A4" s="55" t="s">
        <v>238</v>
      </c>
    </row>
    <row r="5" spans="1:3" x14ac:dyDescent="0.3">
      <c r="A5" s="57" t="s">
        <v>3</v>
      </c>
      <c r="B5" s="57" t="s">
        <v>121</v>
      </c>
      <c r="C5" s="57" t="s">
        <v>6</v>
      </c>
    </row>
    <row r="6" spans="1:3" x14ac:dyDescent="0.3">
      <c r="A6" s="58" t="s">
        <v>214</v>
      </c>
      <c r="B6" s="59">
        <v>3</v>
      </c>
      <c r="C6" s="56" t="s">
        <v>276</v>
      </c>
    </row>
    <row r="7" spans="1:3" x14ac:dyDescent="0.3">
      <c r="A7" s="58" t="s">
        <v>277</v>
      </c>
      <c r="B7" s="60">
        <v>0.15</v>
      </c>
      <c r="C7" s="56" t="s">
        <v>278</v>
      </c>
    </row>
    <row r="8" spans="1:3" x14ac:dyDescent="0.3">
      <c r="A8" s="58" t="s">
        <v>279</v>
      </c>
      <c r="B8" s="59">
        <v>0.25</v>
      </c>
      <c r="C8" s="56" t="s">
        <v>280</v>
      </c>
    </row>
    <row r="9" spans="1:3" x14ac:dyDescent="0.3">
      <c r="A9" s="58" t="s">
        <v>281</v>
      </c>
      <c r="B9" s="60">
        <v>0.02</v>
      </c>
      <c r="C9" s="56" t="s">
        <v>282</v>
      </c>
    </row>
    <row r="10" spans="1:3" x14ac:dyDescent="0.3">
      <c r="A10" s="58" t="s">
        <v>283</v>
      </c>
      <c r="B10" s="65" t="s">
        <v>253</v>
      </c>
      <c r="C10" s="56" t="s">
        <v>284</v>
      </c>
    </row>
    <row r="11" spans="1:3" x14ac:dyDescent="0.3">
      <c r="A11" s="58" t="s">
        <v>285</v>
      </c>
      <c r="B11" s="59">
        <v>25</v>
      </c>
    </row>
    <row r="12" spans="1:3" x14ac:dyDescent="0.3">
      <c r="A12" s="58" t="s">
        <v>286</v>
      </c>
      <c r="B12" s="59">
        <v>0.75</v>
      </c>
    </row>
    <row r="13" spans="1:3" x14ac:dyDescent="0.3">
      <c r="A13" s="58" t="s">
        <v>287</v>
      </c>
      <c r="B13" s="60">
        <v>0.35</v>
      </c>
      <c r="C13" s="56" t="s">
        <v>288</v>
      </c>
    </row>
    <row r="15" spans="1:3" x14ac:dyDescent="0.3">
      <c r="A15" s="55" t="s">
        <v>289</v>
      </c>
    </row>
    <row r="16" spans="1:3" x14ac:dyDescent="0.3">
      <c r="A16" s="58" t="s">
        <v>290</v>
      </c>
      <c r="B16" s="61">
        <v>0.45</v>
      </c>
    </row>
    <row r="17" spans="1:3" x14ac:dyDescent="0.3">
      <c r="A17" s="58" t="s">
        <v>291</v>
      </c>
      <c r="B17" s="61">
        <v>0.45900000000000002</v>
      </c>
    </row>
    <row r="18" spans="1:3" x14ac:dyDescent="0.3">
      <c r="A18" s="58" t="s">
        <v>292</v>
      </c>
      <c r="B18" s="61">
        <v>0.75</v>
      </c>
      <c r="C18" s="56" t="s">
        <v>293</v>
      </c>
    </row>
    <row r="19" spans="1:3" x14ac:dyDescent="0.3">
      <c r="A19" s="58" t="s">
        <v>294</v>
      </c>
      <c r="B19" s="61">
        <v>1.2090000000000001</v>
      </c>
    </row>
    <row r="20" spans="1:3" x14ac:dyDescent="0.3">
      <c r="A20" s="58" t="s">
        <v>295</v>
      </c>
      <c r="B20" s="61">
        <v>1.7909999999999999</v>
      </c>
    </row>
    <row r="21" spans="1:3" x14ac:dyDescent="0.3">
      <c r="A21" s="58" t="s">
        <v>296</v>
      </c>
      <c r="B21" s="62">
        <v>0.40300000000000002</v>
      </c>
    </row>
    <row r="23" spans="1:3" x14ac:dyDescent="0.3">
      <c r="A23" s="55" t="s">
        <v>297</v>
      </c>
    </row>
    <row r="24" spans="1:3" x14ac:dyDescent="0.3">
      <c r="A24" s="58" t="s">
        <v>232</v>
      </c>
      <c r="B24" s="63">
        <v>10</v>
      </c>
    </row>
    <row r="25" spans="1:3" x14ac:dyDescent="0.3">
      <c r="A25" s="58" t="s">
        <v>298</v>
      </c>
      <c r="B25" s="61">
        <v>12.09</v>
      </c>
    </row>
    <row r="26" spans="1:3" x14ac:dyDescent="0.3">
      <c r="A26" s="58" t="s">
        <v>299</v>
      </c>
      <c r="B26" s="61">
        <v>0</v>
      </c>
    </row>
    <row r="27" spans="1:3" x14ac:dyDescent="0.3">
      <c r="A27" s="58" t="s">
        <v>300</v>
      </c>
      <c r="B27" s="61">
        <v>0</v>
      </c>
      <c r="C27" s="56" t="s">
        <v>301</v>
      </c>
    </row>
    <row r="29" spans="1:3" x14ac:dyDescent="0.3">
      <c r="A29" s="56" t="s">
        <v>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Tier 1 Equipment Costs</vt:lpstr>
      <vt:lpstr>Bin Stickers 100x140 4pk</vt:lpstr>
      <vt:lpstr>Recurring Overhead</vt:lpstr>
      <vt:lpstr>cost per item</vt:lpstr>
      <vt:lpstr>Ebay costs</vt:lpstr>
      <vt:lpstr>Etsy</vt: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Liron Stroh</cp:lastModifiedBy>
  <cp:revision>0</cp:revision>
  <dcterms:created xsi:type="dcterms:W3CDTF">2026-07-22T19:17:07Z</dcterms:created>
  <dcterms:modified xsi:type="dcterms:W3CDTF">2026-09-03T04:17:15Z</dcterms:modified>
  <dc:language>en-US</dc:language>
</cp:coreProperties>
</file>