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B3005BDE-59F1-4C40-B908-0B40CD916460}" xr6:coauthVersionLast="47" xr6:coauthVersionMax="47" xr10:uidLastSave="{00000000-0000-0000-0000-000000000000}"/>
  <bookViews>
    <workbookView xWindow="-108" yWindow="-108" windowWidth="23256" windowHeight="12456" tabRatio="500" firstSheet="2" activeTab="6"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4" l="1"/>
  <c r="M6" i="4"/>
  <c r="M7" i="4"/>
  <c r="M8" i="4"/>
  <c r="M9" i="4"/>
  <c r="M10" i="4"/>
  <c r="M11" i="4"/>
  <c r="M12" i="4"/>
  <c r="M4" i="4"/>
  <c r="B56" i="2"/>
  <c r="B58" i="2"/>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1" i="3"/>
  <c r="E9" i="3"/>
  <c r="E8" i="3"/>
  <c r="E7" i="3"/>
  <c r="E6" i="3"/>
  <c r="B54" i="2"/>
  <c r="B48" i="2"/>
  <c r="B36" i="2"/>
  <c r="B28" i="2"/>
  <c r="B17" i="2"/>
  <c r="B15" i="2"/>
  <c r="B18" i="2" s="1"/>
  <c r="B30" i="2" s="1"/>
  <c r="B43" i="1"/>
  <c r="F42" i="1"/>
  <c r="F41" i="1"/>
  <c r="F40" i="1"/>
  <c r="F39" i="1"/>
  <c r="F38" i="1"/>
  <c r="F37" i="1"/>
  <c r="F36" i="1"/>
  <c r="F35" i="1"/>
  <c r="F34" i="1"/>
  <c r="F33" i="1"/>
  <c r="F32" i="1"/>
  <c r="F31" i="1"/>
  <c r="B22" i="1"/>
  <c r="B14" i="1"/>
  <c r="B32" i="3"/>
  <c r="B22" i="3"/>
  <c r="B19" i="3"/>
  <c r="B11" i="3"/>
  <c r="B31" i="2" l="1"/>
  <c r="B45" i="1"/>
  <c r="B55" i="1" s="1"/>
  <c r="B24" i="1"/>
  <c r="B28" i="3"/>
  <c r="B33" i="3"/>
  <c r="B65" i="2" s="1"/>
  <c r="B66" i="2" s="1"/>
  <c r="B27" i="3"/>
  <c r="B26" i="3"/>
  <c r="B37" i="2"/>
  <c r="B59" i="2" l="1"/>
  <c r="B68" i="2"/>
  <c r="B52" i="1" l="1"/>
  <c r="B53" i="1" s="1"/>
  <c r="B56" i="1" s="1"/>
  <c r="B57" i="1" s="1"/>
  <c r="B69" i="2"/>
</calcChain>
</file>

<file path=xl/sharedStrings.xml><?xml version="1.0" encoding="utf-8"?>
<sst xmlns="http://schemas.openxmlformats.org/spreadsheetml/2006/main" count="399" uniqueCount="304">
  <si>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</si>
  <si>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</si>
  <si>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</si>
  <si>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</si>
  <si>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</si>
  <si>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</si>
  <si>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</si>
  <si>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</si>
  <si>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</si>
  <si>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</si>
  <si>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</si>
  <si>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</si>
  <si>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</si>
  <si>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</si>
  <si>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</si>
  <si>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</si>
  <si>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</si>
  <si>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</si>
  <si>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</si>
  <si>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</si>
  <si>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</si>
  <si>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</si>
  <si>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</si>
  <si>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</si>
  <si>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</si>
  <si>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</si>
  <si>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</si>
  <si>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</si>
  <si>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</si>
  <si>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</si>
  <si>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</si>
  <si>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</si>
  <si>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</si>
  <si>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</si>
  <si>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</si>
  <si>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</si>
  <si>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</si>
  <si>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</si>
  <si>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</si>
  <si>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</si>
  <si>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</si>
  <si>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</si>
  <si>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</si>
  <si>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</si>
  <si>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</si>
  <si>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</si>
  <si>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</si>
  <si>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</si>
  <si>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</si>
  <si>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</si>
  <si>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</si>
  <si>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</si>
  <si>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</si>
  <si>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</si>
  <si>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</si>
  <si>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</si>
  <si>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</si>
  <si>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</si>
  <si>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</si>
  <si>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</si>
  <si>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</si>
  <si>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</si>
  <si>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</si>
  <si>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</si>
  <si>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</si>
  <si>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</si>
  <si>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</si>
  <si>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</si>
  <si>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</si>
  <si>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</si>
  <si>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</si>
  <si>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</si>
  <si>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</si>
  <si>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</si>
  <si>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</si>
  <si>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</si>
  <si>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</si>
  <si>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</si>
  <si>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</si>
  <si>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</si>
  <si>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</si>
  <si>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</si>
  <si>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</si>
  <si>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</si>
  <si>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</si>
  <si>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</si>
  <si>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</si>
  <si>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</si>
  <si>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</si>
  <si>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</si>
  <si>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</si>
  <si>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</si>
  <si>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</si>
  <si>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</si>
  <si>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</si>
  <si>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</si>
  <si>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</si>
  <si>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</si>
  <si>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</si>
  <si>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</si>
  <si>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</si>
  <si>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</si>
  <si>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</si>
  <si>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</si>
  <si>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</si>
  <si>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</si>
  <si>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</si>
  <si>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</si>
  <si>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</si>
  <si>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</si>
  <si>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</si>
  <si>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</si>
  <si>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</si>
  <si>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</si>
  <si>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</si>
  <si>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</si>
  <si>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</si>
  <si>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</si>
  <si>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</si>
  <si>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</si>
  <si>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</si>
  <si>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</si>
  <si>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</si>
  <si>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</si>
  <si>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</si>
  <si>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</si>
  <si>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</si>
  <si>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</si>
  <si>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</si>
  <si>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</si>
  <si>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</si>
  <si>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</si>
  <si>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</si>
  <si>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</si>
  <si>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</si>
  <si>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</si>
  <si>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</si>
  <si>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</si>
  <si>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</si>
  <si>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</si>
  <si>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</si>
  <si>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</si>
  <si>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</si>
  <si>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</si>
  <si>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</si>
  <si>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</si>
  <si>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</si>
  <si>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</si>
  <si>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</si>
  <si>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</si>
  <si>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</si>
  <si>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</si>
  <si>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</si>
  <si>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</si>
  <si>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</si>
  <si>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</si>
  <si>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</si>
  <si>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</si>
  <si>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</si>
  <si>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</si>
  <si>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</si>
  <si>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</si>
  <si>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</si>
  <si>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</si>
  <si>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</si>
  <si>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</si>
  <si>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</si>
  <si>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</si>
  <si>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</si>
  <si>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</si>
  <si>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</si>
  <si>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</si>
  <si>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</si>
  <si>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</si>
  <si>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</si>
  <si>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</si>
  <si>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</si>
  <si>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</si>
  <si>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</si>
  <si>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</si>
  <si>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</si>
  <si>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</si>
  <si>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</si>
  <si>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</si>
  <si>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</si>
  <si>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</si>
  <si>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</si>
  <si>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</si>
  <si>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</si>
  <si>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</si>
  <si>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</si>
  <si>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</si>
  <si>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</si>
  <si>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</si>
  <si>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</si>
  <si>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</si>
  <si>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</si>
  <si>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</si>
  <si>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</si>
  <si>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bank account fee</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</si>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</sst>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0"/>
    <numFmt numFmtId="166" formatCode="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9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2" fillId="0" borderId="0" xfId="0" applyFont="1"/>
    <xf numFmtId="0" fontId="0" fillId="0" borderId="0" xfId="0"/>
    <xf numFmtId="0" fontId="21" fillId="0" borderId="0" xfId="0" applyFont="1"/>
    <xf numFmtId="0" fontId="0" fillId="0" borderId="0" xfId="0"/>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0" fontId="0" fillId="0" borderId="0" xfId="0"/>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zoomScaleNormal="100" workbookViewId="0">
      <pane ySplit="4" topLeftCell="A43" activePane="bottomLeft" state="frozen"/>
      <selection pane="bottomLeft" activeCell="B45" sqref="B45"/>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50" t="s">
        <v>85</v>
      </c>
      <c r="B31" s="18">
        <v>13</v>
      </c>
      <c r="C31" s="17"/>
      <c r="D31" s="1"/>
      <c r="E31">
        <v>25</v>
      </c>
      <c r="F31">
        <f t="shared" ref="F31:F40" si="0">B31/E31</f>
        <v>0.52</v>
      </c>
      <c r="G31" t="s">
        <v>86</v>
      </c>
    </row>
    <row r="32" spans="1:7" ht="15" customHeight="1" x14ac:dyDescent="0.35">
      <c r="A32" s="50"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19" t="s">
        <v>104</v>
      </c>
      <c r="B43" s="20">
        <f>SUM(B31:B42)</f>
        <v>102.31</v>
      </c>
    </row>
    <row r="45" spans="1:9" ht="15.6" customHeight="1" x14ac:dyDescent="0.3">
      <c r="A45" s="21" t="s">
        <v>105</v>
      </c>
      <c r="B45" s="22">
        <f>B14+B43</f>
        <v>631.30999999999995</v>
      </c>
    </row>
    <row r="46" spans="1:9" x14ac:dyDescent="0.3">
      <c r="A46" s="64" t="s">
        <v>106</v>
      </c>
      <c r="B46" s="65"/>
      <c r="C46" s="65"/>
      <c r="D46" s="65"/>
    </row>
    <row r="48" spans="1:9" ht="15.6" customHeight="1" x14ac:dyDescent="0.3">
      <c r="A48" s="23" t="s">
        <v>107</v>
      </c>
    </row>
    <row r="49" spans="1:4" x14ac:dyDescent="0.3">
      <c r="A49" s="64" t="s">
        <v>108</v>
      </c>
      <c r="B49" s="65"/>
      <c r="C49" s="65"/>
      <c r="D49" s="65"/>
    </row>
    <row r="51" spans="1:4" x14ac:dyDescent="0.3">
      <c r="A51" s="17" t="s">
        <v>109</v>
      </c>
      <c r="B51" s="18">
        <v>6</v>
      </c>
      <c r="D51" s="1" t="s">
        <v>110</v>
      </c>
    </row>
    <row r="52" spans="1:4" x14ac:dyDescent="0.3">
      <c r="A52" s="17" t="s">
        <v>111</v>
      </c>
      <c r="B52" s="24">
        <f>'Bin Stickers 100x140 4pk'!B68</f>
        <v>28.337866666666667</v>
      </c>
      <c r="D52" s="1" t="s">
        <v>112</v>
      </c>
    </row>
    <row r="53" spans="1:4" x14ac:dyDescent="0.3">
      <c r="A53" s="25" t="s">
        <v>113</v>
      </c>
      <c r="B53" s="26">
        <f>B51-B52</f>
        <v>-22.337866666666667</v>
      </c>
    </row>
    <row r="55" spans="1:4" x14ac:dyDescent="0.3">
      <c r="A55" s="17" t="s">
        <v>114</v>
      </c>
      <c r="B55" s="27">
        <f>B45</f>
        <v>631.30999999999995</v>
      </c>
    </row>
    <row r="56" spans="1:4" x14ac:dyDescent="0.3">
      <c r="A56" s="19" t="s">
        <v>115</v>
      </c>
      <c r="B56" s="28">
        <f>IFERROR(B55/B53,"N/A")</f>
        <v>-28.261875201451645</v>
      </c>
    </row>
    <row r="57" spans="1:4" x14ac:dyDescent="0.3">
      <c r="A57" s="19" t="s">
        <v>116</v>
      </c>
      <c r="B57" s="28">
        <f>IFERROR(B56*'Bin Stickers 100x140 4pk'!B7,"N/A")</f>
        <v>-113.04750080580658</v>
      </c>
    </row>
    <row r="59" spans="1:4" x14ac:dyDescent="0.3">
      <c r="A59" s="64" t="s">
        <v>117</v>
      </c>
      <c r="B59" s="65"/>
      <c r="C59" s="65"/>
      <c r="D59" s="65"/>
    </row>
  </sheetData>
  <mergeCells count="3">
    <mergeCell ref="A59:D59"/>
    <mergeCell ref="A46:D46"/>
    <mergeCell ref="A49:D49"/>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
  <sheetViews>
    <sheetView topLeftCell="A52" zoomScaleNormal="100" workbookViewId="0">
      <selection activeCell="B57" sqref="B57"/>
    </sheetView>
  </sheetViews>
  <sheetFormatPr defaultColWidth="8.6640625" defaultRowHeight="14.4" x14ac:dyDescent="0.3"/>
  <cols>
    <col min="1" max="1" width="46" customWidth="1"/>
    <col min="2" max="2" width="16" customWidth="1"/>
    <col min="3" max="3" width="55"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v>
      </c>
      <c r="C12" s="30" t="s">
        <v>132</v>
      </c>
    </row>
    <row r="13" spans="1:3" ht="14.25" customHeight="1" x14ac:dyDescent="0.3">
      <c r="A13" t="s">
        <v>133</v>
      </c>
      <c r="B13" s="34">
        <v>0.5</v>
      </c>
      <c r="C13" s="30" t="s">
        <v>134</v>
      </c>
    </row>
    <row r="14" spans="1:3" ht="14.25" customHeight="1" x14ac:dyDescent="0.3">
      <c r="A14" t="s">
        <v>135</v>
      </c>
      <c r="B14" s="34">
        <v>0.05</v>
      </c>
      <c r="C14" s="30" t="s">
        <v>136</v>
      </c>
    </row>
    <row r="15" spans="1:3" ht="14.25" customHeight="1" x14ac:dyDescent="0.3">
      <c r="A15" t="s">
        <v>137</v>
      </c>
      <c r="B15" s="35">
        <f>SUM(B12:B14)</f>
        <v>0.95000000000000007</v>
      </c>
    </row>
    <row r="17" spans="1:3" ht="14.25" customHeight="1" x14ac:dyDescent="0.3">
      <c r="A17" t="s">
        <v>138</v>
      </c>
      <c r="B17" s="36">
        <f>B8</f>
        <v>1</v>
      </c>
    </row>
    <row r="18" spans="1:3" ht="14.25" customHeight="1" x14ac:dyDescent="0.3">
      <c r="A18" t="s">
        <v>139</v>
      </c>
      <c r="B18" s="35">
        <f>B15*B17</f>
        <v>0.95000000000000007</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1.03</v>
      </c>
      <c r="C30" s="37"/>
    </row>
    <row r="31" spans="1:3" x14ac:dyDescent="0.3">
      <c r="A31" s="37" t="s">
        <v>155</v>
      </c>
      <c r="B31" s="42">
        <f>B30/B7</f>
        <v>0.25750000000000001</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1.06</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3" x14ac:dyDescent="0.3">
      <c r="A49" s="37"/>
      <c r="B49" s="41"/>
      <c r="C49" s="37"/>
    </row>
    <row r="50" spans="1:3" ht="14.25" customHeight="1" x14ac:dyDescent="0.3">
      <c r="A50" s="31" t="s">
        <v>181</v>
      </c>
      <c r="B50" s="37"/>
      <c r="C50" s="37"/>
    </row>
    <row r="51" spans="1:3" ht="14.25" customHeight="1" x14ac:dyDescent="0.3">
      <c r="A51" s="32" t="s">
        <v>3</v>
      </c>
      <c r="B51" s="38" t="s">
        <v>121</v>
      </c>
      <c r="C51" s="32" t="s">
        <v>6</v>
      </c>
    </row>
    <row r="52" spans="1:3" ht="57" customHeight="1" x14ac:dyDescent="0.3">
      <c r="A52" s="37" t="s">
        <v>182</v>
      </c>
      <c r="B52" s="34">
        <v>15.89</v>
      </c>
      <c r="C52" s="39" t="s">
        <v>183</v>
      </c>
    </row>
    <row r="53" spans="1:3" ht="54.75" customHeight="1" x14ac:dyDescent="0.3">
      <c r="A53" s="37" t="s">
        <v>184</v>
      </c>
      <c r="B53" s="34">
        <v>25</v>
      </c>
      <c r="C53" s="37"/>
    </row>
    <row r="54" spans="1:3" x14ac:dyDescent="0.3">
      <c r="A54" s="3" t="s">
        <v>185</v>
      </c>
      <c r="B54" s="40">
        <f>B52/B53</f>
        <v>0.63560000000000005</v>
      </c>
      <c r="C54" s="37"/>
    </row>
    <row r="55" spans="1:3" ht="114.75" customHeight="1" x14ac:dyDescent="0.3">
      <c r="A55" s="37" t="s">
        <v>186</v>
      </c>
      <c r="B55" s="34">
        <v>3</v>
      </c>
      <c r="C55" s="39" t="s">
        <v>187</v>
      </c>
    </row>
    <row r="56" spans="1:3" ht="60" customHeight="1" x14ac:dyDescent="0.3">
      <c r="A56" s="3" t="s">
        <v>188</v>
      </c>
      <c r="B56">
        <f>B54/3</f>
        <v>0.21186666666666668</v>
      </c>
    </row>
    <row r="57" spans="1:3" x14ac:dyDescent="0.3">
      <c r="A57" s="37"/>
      <c r="B57" s="37"/>
      <c r="C57" s="37"/>
    </row>
    <row r="58" spans="1:3" x14ac:dyDescent="0.3">
      <c r="A58" s="3" t="s">
        <v>189</v>
      </c>
      <c r="B58" s="40">
        <f>B30+B48+B56+B36</f>
        <v>2.1818666666666666</v>
      </c>
      <c r="C58" s="37"/>
    </row>
    <row r="59" spans="1:3" x14ac:dyDescent="0.3">
      <c r="A59" s="37" t="s">
        <v>190</v>
      </c>
      <c r="B59" s="42">
        <f>B58/B7</f>
        <v>0.54546666666666666</v>
      </c>
      <c r="C59" s="37"/>
    </row>
    <row r="60" spans="1:3" x14ac:dyDescent="0.3">
      <c r="A60" s="37"/>
      <c r="B60" s="37"/>
      <c r="C60" s="37"/>
    </row>
    <row r="61" spans="1:3" ht="186.75" customHeight="1" x14ac:dyDescent="0.3">
      <c r="A61" s="39" t="s">
        <v>191</v>
      </c>
    </row>
    <row r="63" spans="1:3" x14ac:dyDescent="0.3">
      <c r="A63" s="31" t="s">
        <v>192</v>
      </c>
    </row>
    <row r="64" spans="1:3" x14ac:dyDescent="0.3">
      <c r="A64" s="32" t="s">
        <v>3</v>
      </c>
      <c r="B64" s="32" t="s">
        <v>121</v>
      </c>
      <c r="C64" s="32" t="s">
        <v>6</v>
      </c>
    </row>
    <row r="65" spans="1:3" x14ac:dyDescent="0.3">
      <c r="A65" s="37" t="s">
        <v>193</v>
      </c>
      <c r="B65" s="43">
        <f>'Recurring Overhead'!B33</f>
        <v>6.5389999999999997</v>
      </c>
      <c r="C65" s="2" t="s">
        <v>194</v>
      </c>
    </row>
    <row r="66" spans="1:3" x14ac:dyDescent="0.3">
      <c r="A66" s="37" t="s">
        <v>195</v>
      </c>
      <c r="B66" s="41">
        <f>B65*B7</f>
        <v>26.155999999999999</v>
      </c>
    </row>
    <row r="68" spans="1:3" x14ac:dyDescent="0.3">
      <c r="A68" s="3" t="s">
        <v>196</v>
      </c>
      <c r="B68" s="40">
        <f>B58+B66</f>
        <v>28.337866666666667</v>
      </c>
    </row>
    <row r="69" spans="1:3" x14ac:dyDescent="0.3">
      <c r="A69" s="37" t="s">
        <v>197</v>
      </c>
      <c r="B69" s="42">
        <f>B68/B7</f>
        <v>7.0844666666666667</v>
      </c>
    </row>
    <row r="71" spans="1:3" x14ac:dyDescent="0.3">
      <c r="A71" s="66" t="s">
        <v>198</v>
      </c>
      <c r="B71" s="65"/>
      <c r="C71" s="65"/>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
  <sheetViews>
    <sheetView topLeftCell="A36" zoomScaleNormal="100" workbookViewId="0">
      <selection activeCell="A37" sqref="A37:D62"/>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4" t="s">
        <v>1</v>
      </c>
      <c r="B2" s="65"/>
      <c r="C2" s="65"/>
      <c r="D2" s="65"/>
    </row>
    <row r="4" spans="1:5" x14ac:dyDescent="0.3">
      <c r="A4" s="12" t="s">
        <v>2</v>
      </c>
    </row>
    <row r="5" spans="1:5" x14ac:dyDescent="0.3">
      <c r="A5" s="16" t="s">
        <v>3</v>
      </c>
      <c r="B5" s="16" t="s">
        <v>4</v>
      </c>
      <c r="C5" s="16" t="s">
        <v>5</v>
      </c>
      <c r="D5" s="16" t="s">
        <v>6</v>
      </c>
      <c r="E5" s="16" t="s">
        <v>200</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199</v>
      </c>
      <c r="B9" s="18">
        <v>10</v>
      </c>
      <c r="C9" s="17"/>
      <c r="D9" s="1"/>
      <c r="E9">
        <f>B9*12</f>
        <v>120</v>
      </c>
    </row>
    <row r="10" spans="1:5" x14ac:dyDescent="0.3">
      <c r="A10" s="17" t="s">
        <v>15</v>
      </c>
      <c r="B10" s="18">
        <v>0</v>
      </c>
      <c r="C10" s="17" t="s">
        <v>13</v>
      </c>
      <c r="D10" s="1" t="s">
        <v>16</v>
      </c>
    </row>
    <row r="11" spans="1:5" x14ac:dyDescent="0.3">
      <c r="A11" s="19" t="s">
        <v>17</v>
      </c>
      <c r="B11" s="20">
        <f>SUM(B6:B10)</f>
        <v>65.39</v>
      </c>
      <c r="E11">
        <f>SUM(E6:E10)</f>
        <v>646.74</v>
      </c>
    </row>
    <row r="13" spans="1:5" x14ac:dyDescent="0.3">
      <c r="A13" s="12" t="s">
        <v>18</v>
      </c>
    </row>
    <row r="14" spans="1:5" x14ac:dyDescent="0.3">
      <c r="A14" s="64" t="s">
        <v>19</v>
      </c>
      <c r="B14" s="65"/>
      <c r="C14" s="65"/>
      <c r="D14" s="65"/>
    </row>
    <row r="16" spans="1:5" x14ac:dyDescent="0.3">
      <c r="A16" s="16" t="s">
        <v>20</v>
      </c>
      <c r="B16" s="16" t="s">
        <v>21</v>
      </c>
      <c r="C16" s="16" t="s">
        <v>22</v>
      </c>
      <c r="D16" s="16" t="s">
        <v>23</v>
      </c>
    </row>
    <row r="17" spans="1:4" x14ac:dyDescent="0.3">
      <c r="A17" s="17" t="s">
        <v>24</v>
      </c>
      <c r="B17" s="44">
        <v>10</v>
      </c>
      <c r="C17" s="17" t="s">
        <v>25</v>
      </c>
      <c r="D17" s="1" t="s">
        <v>26</v>
      </c>
    </row>
    <row r="18" spans="1:4" x14ac:dyDescent="0.3">
      <c r="A18" s="17" t="s">
        <v>27</v>
      </c>
      <c r="B18" s="44">
        <v>40</v>
      </c>
      <c r="C18" s="17" t="s">
        <v>28</v>
      </c>
      <c r="D18" s="1" t="s">
        <v>29</v>
      </c>
    </row>
    <row r="19" spans="1:4" x14ac:dyDescent="0.3">
      <c r="A19" s="17" t="s">
        <v>30</v>
      </c>
      <c r="B19" s="45">
        <f>B21</f>
        <v>1</v>
      </c>
      <c r="C19" s="17" t="s">
        <v>31</v>
      </c>
      <c r="D19" s="1" t="s">
        <v>32</v>
      </c>
    </row>
    <row r="21" spans="1:4" x14ac:dyDescent="0.3">
      <c r="A21" s="17" t="s">
        <v>33</v>
      </c>
      <c r="B21" s="46">
        <v>1</v>
      </c>
      <c r="D21" s="1" t="s">
        <v>34</v>
      </c>
    </row>
    <row r="22" spans="1:4" x14ac:dyDescent="0.3">
      <c r="A22" s="17" t="s">
        <v>35</v>
      </c>
      <c r="B22" s="45">
        <f>IFERROR(B21*4.33/(45/60)*20,0)</f>
        <v>115.46666666666667</v>
      </c>
      <c r="D22" s="1" t="s">
        <v>36</v>
      </c>
    </row>
    <row r="24" spans="1:4" x14ac:dyDescent="0.3">
      <c r="A24" s="12" t="s">
        <v>37</v>
      </c>
    </row>
    <row r="25" spans="1:4" x14ac:dyDescent="0.3">
      <c r="A25" s="16" t="s">
        <v>20</v>
      </c>
      <c r="B25" s="16" t="s">
        <v>38</v>
      </c>
    </row>
    <row r="26" spans="1:4" x14ac:dyDescent="0.3">
      <c r="A26" s="17" t="s">
        <v>24</v>
      </c>
      <c r="B26" s="27">
        <f>IFERROR($B$11/B17,0)</f>
        <v>6.5389999999999997</v>
      </c>
    </row>
    <row r="27" spans="1:4" x14ac:dyDescent="0.3">
      <c r="A27" s="17" t="s">
        <v>27</v>
      </c>
      <c r="B27" s="27">
        <f>IFERROR($B$11/B18,0)</f>
        <v>1.6347499999999999</v>
      </c>
    </row>
    <row r="28" spans="1:4" x14ac:dyDescent="0.3">
      <c r="A28" s="17" t="s">
        <v>30</v>
      </c>
      <c r="B28" s="27">
        <f>IFERROR($B$11/B19,0)</f>
        <v>65.39</v>
      </c>
    </row>
    <row r="30" spans="1:4" x14ac:dyDescent="0.3">
      <c r="A30" s="12" t="s">
        <v>39</v>
      </c>
    </row>
    <row r="31" spans="1:4" x14ac:dyDescent="0.3">
      <c r="A31" s="17" t="s">
        <v>40</v>
      </c>
      <c r="B31" s="47" t="s">
        <v>24</v>
      </c>
      <c r="D31" s="1" t="s">
        <v>41</v>
      </c>
    </row>
    <row r="32" spans="1:4" x14ac:dyDescent="0.3">
      <c r="A32" s="17" t="s">
        <v>42</v>
      </c>
      <c r="B32" s="45">
        <f>INDEX(B17:B19,MATCH(B31,A17:A19,0))</f>
        <v>10</v>
      </c>
    </row>
    <row r="33" spans="1:2" x14ac:dyDescent="0.3">
      <c r="A33" s="19" t="s">
        <v>43</v>
      </c>
      <c r="B33" s="20">
        <f>IFERROR($B$11/B32,0)</f>
        <v>6.5389999999999997</v>
      </c>
    </row>
  </sheetData>
  <mergeCells count="2">
    <mergeCell ref="A14:D14"/>
    <mergeCell ref="A2:D2"/>
  </mergeCells>
  <dataValidations count="1">
    <dataValidation type="list" sqref="B31"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N9" sqref="N9"/>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201</v>
      </c>
      <c r="B1" t="s">
        <v>84</v>
      </c>
      <c r="C1" t="s">
        <v>202</v>
      </c>
      <c r="D1" t="s">
        <v>203</v>
      </c>
      <c r="E1" t="s">
        <v>204</v>
      </c>
      <c r="I1" t="s">
        <v>210</v>
      </c>
      <c r="J1" t="s">
        <v>84</v>
      </c>
      <c r="K1" t="s">
        <v>210</v>
      </c>
      <c r="L1" t="s">
        <v>211</v>
      </c>
      <c r="M1" t="s">
        <v>212</v>
      </c>
    </row>
    <row r="2" spans="1:13" x14ac:dyDescent="0.3">
      <c r="A2" t="s">
        <v>205</v>
      </c>
      <c r="I2" t="s">
        <v>205</v>
      </c>
    </row>
    <row r="3" spans="1:13" x14ac:dyDescent="0.3">
      <c r="A3" t="s">
        <v>206</v>
      </c>
      <c r="B3">
        <v>10</v>
      </c>
      <c r="C3">
        <v>6.5</v>
      </c>
      <c r="E3">
        <f>C3/B3</f>
        <v>0.65</v>
      </c>
      <c r="I3" t="s">
        <v>206</v>
      </c>
      <c r="J3">
        <v>25</v>
      </c>
      <c r="K3">
        <f>C4+C14</f>
        <v>25.9</v>
      </c>
      <c r="L3">
        <f>K3/J3</f>
        <v>1.036</v>
      </c>
    </row>
    <row r="4" spans="1:13" x14ac:dyDescent="0.3">
      <c r="A4" t="s">
        <v>206</v>
      </c>
      <c r="B4">
        <v>25</v>
      </c>
      <c r="C4">
        <v>13.25</v>
      </c>
      <c r="E4">
        <f t="shared" ref="E4:E22" si="0">C4/B4</f>
        <v>0.53</v>
      </c>
      <c r="I4" t="s">
        <v>206</v>
      </c>
      <c r="J4">
        <v>50</v>
      </c>
      <c r="K4">
        <f>C5+C15</f>
        <v>46.15</v>
      </c>
      <c r="L4">
        <f t="shared" ref="L4:L12" si="1">K4/J4</f>
        <v>0.92299999999999993</v>
      </c>
      <c r="M4">
        <f>L3-L4</f>
        <v>0.1130000000000001</v>
      </c>
    </row>
    <row r="5" spans="1:13" x14ac:dyDescent="0.3">
      <c r="A5" t="s">
        <v>206</v>
      </c>
      <c r="B5">
        <v>50</v>
      </c>
      <c r="C5">
        <v>22.5</v>
      </c>
      <c r="E5">
        <f t="shared" si="0"/>
        <v>0.45</v>
      </c>
      <c r="I5" t="s">
        <v>206</v>
      </c>
      <c r="J5">
        <v>100</v>
      </c>
      <c r="K5">
        <f>C6+C16</f>
        <v>87</v>
      </c>
      <c r="L5" s="54">
        <f t="shared" si="1"/>
        <v>0.87</v>
      </c>
      <c r="M5">
        <f t="shared" ref="M5:M12" si="2">L4-L5</f>
        <v>5.2999999999999936E-2</v>
      </c>
    </row>
    <row r="6" spans="1:13" x14ac:dyDescent="0.3">
      <c r="A6" t="s">
        <v>206</v>
      </c>
      <c r="B6">
        <v>100</v>
      </c>
      <c r="C6">
        <v>43</v>
      </c>
      <c r="E6">
        <f t="shared" si="0"/>
        <v>0.43</v>
      </c>
      <c r="I6" t="s">
        <v>206</v>
      </c>
      <c r="J6">
        <v>200</v>
      </c>
      <c r="K6">
        <f>C7+C17</f>
        <v>165.5</v>
      </c>
      <c r="L6">
        <f>K6/J6</f>
        <v>0.82750000000000001</v>
      </c>
      <c r="M6">
        <f t="shared" si="2"/>
        <v>4.2499999999999982E-2</v>
      </c>
    </row>
    <row r="7" spans="1:13" x14ac:dyDescent="0.3">
      <c r="A7" t="s">
        <v>206</v>
      </c>
      <c r="B7">
        <v>200</v>
      </c>
      <c r="C7">
        <v>80</v>
      </c>
      <c r="E7">
        <f t="shared" si="0"/>
        <v>0.4</v>
      </c>
      <c r="I7" t="s">
        <v>206</v>
      </c>
      <c r="J7">
        <v>500</v>
      </c>
      <c r="K7">
        <f>C8+C18</f>
        <v>384</v>
      </c>
      <c r="L7">
        <f t="shared" si="1"/>
        <v>0.76800000000000002</v>
      </c>
      <c r="M7">
        <f t="shared" si="2"/>
        <v>5.9499999999999997E-2</v>
      </c>
    </row>
    <row r="8" spans="1:13" x14ac:dyDescent="0.3">
      <c r="A8" t="s">
        <v>206</v>
      </c>
      <c r="B8">
        <v>500</v>
      </c>
      <c r="C8">
        <v>175</v>
      </c>
      <c r="E8">
        <f t="shared" si="0"/>
        <v>0.35</v>
      </c>
      <c r="I8" t="s">
        <v>207</v>
      </c>
      <c r="J8">
        <v>25</v>
      </c>
      <c r="K8">
        <f>C10+C14</f>
        <v>28.9</v>
      </c>
      <c r="L8">
        <f>K8/J8</f>
        <v>1.1559999999999999</v>
      </c>
      <c r="M8">
        <f t="shared" si="2"/>
        <v>-0.3879999999999999</v>
      </c>
    </row>
    <row r="9" spans="1:13" x14ac:dyDescent="0.3">
      <c r="A9" t="s">
        <v>207</v>
      </c>
      <c r="B9">
        <v>10</v>
      </c>
      <c r="C9">
        <v>7.5</v>
      </c>
      <c r="E9">
        <f t="shared" si="0"/>
        <v>0.75</v>
      </c>
      <c r="I9" t="s">
        <v>207</v>
      </c>
      <c r="J9">
        <v>50</v>
      </c>
      <c r="K9">
        <f>C11+C15</f>
        <v>51.15</v>
      </c>
      <c r="L9">
        <f>K9/J9</f>
        <v>1.0229999999999999</v>
      </c>
      <c r="M9">
        <f t="shared" si="2"/>
        <v>0.13300000000000001</v>
      </c>
    </row>
    <row r="10" spans="1:13" x14ac:dyDescent="0.3">
      <c r="B10">
        <v>25</v>
      </c>
      <c r="C10">
        <v>16.25</v>
      </c>
      <c r="E10">
        <f t="shared" si="0"/>
        <v>0.65</v>
      </c>
      <c r="I10" t="s">
        <v>207</v>
      </c>
      <c r="J10">
        <v>100</v>
      </c>
      <c r="K10">
        <f>C12+C16</f>
        <v>92</v>
      </c>
      <c r="L10" s="54">
        <f>K10/J10</f>
        <v>0.92</v>
      </c>
      <c r="M10">
        <f t="shared" si="2"/>
        <v>0.10299999999999987</v>
      </c>
    </row>
    <row r="11" spans="1:13" x14ac:dyDescent="0.3">
      <c r="B11">
        <v>50</v>
      </c>
      <c r="C11">
        <v>27.5</v>
      </c>
      <c r="E11">
        <f t="shared" si="0"/>
        <v>0.55000000000000004</v>
      </c>
      <c r="I11" t="s">
        <v>207</v>
      </c>
      <c r="J11">
        <v>200</v>
      </c>
      <c r="K11">
        <f>2*C12+C17</f>
        <v>181.5</v>
      </c>
      <c r="L11">
        <f>K11/J11</f>
        <v>0.90749999999999997</v>
      </c>
      <c r="M11">
        <f t="shared" si="2"/>
        <v>1.2500000000000067E-2</v>
      </c>
    </row>
    <row r="12" spans="1:13" x14ac:dyDescent="0.3">
      <c r="B12">
        <v>100</v>
      </c>
      <c r="C12">
        <v>48</v>
      </c>
      <c r="E12">
        <f t="shared" si="0"/>
        <v>0.48</v>
      </c>
      <c r="I12" t="s">
        <v>207</v>
      </c>
      <c r="J12">
        <v>500</v>
      </c>
      <c r="K12">
        <f>5*C12+C18</f>
        <v>449</v>
      </c>
      <c r="L12">
        <f t="shared" si="1"/>
        <v>0.89800000000000002</v>
      </c>
      <c r="M12">
        <f t="shared" si="2"/>
        <v>9.4999999999999529E-3</v>
      </c>
    </row>
    <row r="13" spans="1:13" x14ac:dyDescent="0.3">
      <c r="A13" t="s">
        <v>208</v>
      </c>
      <c r="B13">
        <v>10</v>
      </c>
      <c r="C13">
        <v>5.5</v>
      </c>
      <c r="E13">
        <f t="shared" si="0"/>
        <v>0.55000000000000004</v>
      </c>
      <c r="I13" t="s">
        <v>209</v>
      </c>
      <c r="J13">
        <v>20</v>
      </c>
      <c r="K13">
        <f>C20+C22</f>
        <v>13</v>
      </c>
      <c r="L13">
        <f>K13/J13</f>
        <v>0.65</v>
      </c>
    </row>
    <row r="14" spans="1:13" x14ac:dyDescent="0.3">
      <c r="B14">
        <v>25</v>
      </c>
      <c r="C14">
        <v>12.65</v>
      </c>
      <c r="E14">
        <f t="shared" si="0"/>
        <v>0.50600000000000001</v>
      </c>
      <c r="I14" t="s">
        <v>209</v>
      </c>
      <c r="J14">
        <v>60</v>
      </c>
      <c r="K14">
        <f>K13*3</f>
        <v>39</v>
      </c>
      <c r="L14">
        <f>K14/J14</f>
        <v>0.65</v>
      </c>
    </row>
    <row r="15" spans="1:13" x14ac:dyDescent="0.3">
      <c r="B15">
        <v>50</v>
      </c>
      <c r="C15">
        <v>23.65</v>
      </c>
      <c r="E15">
        <f t="shared" si="0"/>
        <v>0.47299999999999998</v>
      </c>
      <c r="I15" t="s">
        <v>209</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209</v>
      </c>
    </row>
    <row r="20" spans="1:5" x14ac:dyDescent="0.3">
      <c r="A20" t="s">
        <v>206</v>
      </c>
      <c r="B20">
        <v>20</v>
      </c>
      <c r="C20">
        <v>6.5</v>
      </c>
      <c r="E20">
        <f t="shared" si="0"/>
        <v>0.32500000000000001</v>
      </c>
    </row>
    <row r="21" spans="1:5" x14ac:dyDescent="0.3">
      <c r="A21" t="s">
        <v>207</v>
      </c>
      <c r="B21">
        <v>20</v>
      </c>
      <c r="C21">
        <v>6.5</v>
      </c>
      <c r="E21">
        <f t="shared" si="0"/>
        <v>0.32500000000000001</v>
      </c>
    </row>
    <row r="22" spans="1:5" x14ac:dyDescent="0.3">
      <c r="A22" t="s">
        <v>208</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C24"/>
  <sheetViews>
    <sheetView workbookViewId="0">
      <selection activeCell="H10" sqref="H10"/>
    </sheetView>
  </sheetViews>
  <sheetFormatPr defaultRowHeight="14.4" x14ac:dyDescent="0.3"/>
  <cols>
    <col min="1" max="1" width="77.21875" customWidth="1"/>
  </cols>
  <sheetData>
    <row r="1" spans="1:3" x14ac:dyDescent="0.3">
      <c r="A1" s="55" t="s">
        <v>213</v>
      </c>
    </row>
    <row r="2" spans="1:3" x14ac:dyDescent="0.3">
      <c r="A2" s="56" t="s">
        <v>214</v>
      </c>
    </row>
    <row r="4" spans="1:3" x14ac:dyDescent="0.3">
      <c r="A4" s="57" t="s">
        <v>3</v>
      </c>
      <c r="B4" s="57" t="s">
        <v>121</v>
      </c>
      <c r="C4" s="57" t="s">
        <v>6</v>
      </c>
    </row>
    <row r="5" spans="1:3" x14ac:dyDescent="0.3">
      <c r="A5" s="58" t="s">
        <v>215</v>
      </c>
      <c r="B5" s="59">
        <v>3</v>
      </c>
      <c r="C5" s="56" t="s">
        <v>216</v>
      </c>
    </row>
    <row r="6" spans="1:3" x14ac:dyDescent="0.3">
      <c r="A6" s="58" t="s">
        <v>217</v>
      </c>
      <c r="B6" s="60">
        <v>0.04</v>
      </c>
      <c r="C6" s="56" t="s">
        <v>218</v>
      </c>
    </row>
    <row r="7" spans="1:3" x14ac:dyDescent="0.3">
      <c r="A7" s="58" t="s">
        <v>219</v>
      </c>
      <c r="B7" s="60">
        <v>0.128</v>
      </c>
      <c r="C7" s="56" t="s">
        <v>220</v>
      </c>
    </row>
    <row r="8" spans="1:3" x14ac:dyDescent="0.3">
      <c r="A8" s="58" t="s">
        <v>221</v>
      </c>
      <c r="B8" s="59">
        <v>0.3</v>
      </c>
      <c r="C8" s="56" t="s">
        <v>222</v>
      </c>
    </row>
    <row r="9" spans="1:3" x14ac:dyDescent="0.3">
      <c r="A9" s="58" t="s">
        <v>223</v>
      </c>
      <c r="B9" s="60">
        <v>4.0000000000000001E-3</v>
      </c>
      <c r="C9" s="56" t="s">
        <v>224</v>
      </c>
    </row>
    <row r="11" spans="1:3" x14ac:dyDescent="0.3">
      <c r="A11" s="55" t="s">
        <v>225</v>
      </c>
    </row>
    <row r="12" spans="1:3" x14ac:dyDescent="0.3">
      <c r="A12" s="58" t="s">
        <v>226</v>
      </c>
      <c r="B12" s="61">
        <v>0.12</v>
      </c>
    </row>
    <row r="13" spans="1:3" x14ac:dyDescent="0.3">
      <c r="A13" s="58" t="s">
        <v>227</v>
      </c>
      <c r="B13" s="61">
        <v>0.38400000000000001</v>
      </c>
    </row>
    <row r="14" spans="1:3" x14ac:dyDescent="0.3">
      <c r="A14" s="58" t="s">
        <v>228</v>
      </c>
      <c r="B14" s="61">
        <v>1.2E-2</v>
      </c>
    </row>
    <row r="15" spans="1:3" x14ac:dyDescent="0.3">
      <c r="A15" s="58" t="s">
        <v>229</v>
      </c>
      <c r="B15" s="61">
        <v>0.81599999999999995</v>
      </c>
    </row>
    <row r="16" spans="1:3" x14ac:dyDescent="0.3">
      <c r="A16" s="58" t="s">
        <v>230</v>
      </c>
      <c r="B16" s="61">
        <v>2.1840000000000002</v>
      </c>
    </row>
    <row r="17" spans="1:2" x14ac:dyDescent="0.3">
      <c r="A17" s="58" t="s">
        <v>231</v>
      </c>
      <c r="B17" s="62">
        <v>0.27200000000000002</v>
      </c>
    </row>
    <row r="19" spans="1:2" x14ac:dyDescent="0.3">
      <c r="A19" s="55" t="s">
        <v>232</v>
      </c>
    </row>
    <row r="20" spans="1:2" x14ac:dyDescent="0.3">
      <c r="A20" s="58" t="s">
        <v>233</v>
      </c>
      <c r="B20" s="63">
        <v>10</v>
      </c>
    </row>
    <row r="21" spans="1:2" x14ac:dyDescent="0.3">
      <c r="A21" s="58" t="s">
        <v>234</v>
      </c>
      <c r="B21" s="61">
        <v>1.2</v>
      </c>
    </row>
    <row r="22" spans="1:2" x14ac:dyDescent="0.3">
      <c r="A22" s="58" t="s">
        <v>235</v>
      </c>
      <c r="B22" s="61">
        <v>8.16</v>
      </c>
    </row>
    <row r="24" spans="1:2" x14ac:dyDescent="0.3">
      <c r="A24" s="56" t="s">
        <v>236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workbookViewId="0">
      <selection activeCell="H13" sqref="H13"/>
    </sheetView>
  </sheetViews>
  <sheetFormatPr defaultRowHeight="14.4" x14ac:dyDescent="0.3"/>
  <sheetData>
    <row r="1" spans="1:3" ht="17.399999999999999" x14ac:dyDescent="0.3">
      <c r="A1" s="77" t="s">
        <v>237</v>
      </c>
      <c r="B1" s="67"/>
      <c r="C1" s="67"/>
    </row>
    <row r="2" spans="1:3" x14ac:dyDescent="0.3">
      <c r="A2" s="69" t="s">
        <v>238</v>
      </c>
      <c r="B2" s="67"/>
      <c r="C2" s="67"/>
    </row>
    <row r="4" spans="1:3" x14ac:dyDescent="0.3">
      <c r="A4" s="68" t="s">
        <v>239</v>
      </c>
      <c r="B4" s="67"/>
      <c r="C4" s="67"/>
    </row>
    <row r="5" spans="1:3" x14ac:dyDescent="0.3">
      <c r="A5" s="70" t="s">
        <v>3</v>
      </c>
      <c r="B5" s="70" t="s">
        <v>121</v>
      </c>
      <c r="C5" s="70" t="s">
        <v>6</v>
      </c>
    </row>
    <row r="6" spans="1:3" x14ac:dyDescent="0.3">
      <c r="A6" s="71" t="s">
        <v>240</v>
      </c>
      <c r="B6" s="72">
        <v>3</v>
      </c>
      <c r="C6" s="69" t="s">
        <v>241</v>
      </c>
    </row>
    <row r="7" spans="1:3" x14ac:dyDescent="0.3">
      <c r="A7" s="71" t="s">
        <v>242</v>
      </c>
      <c r="B7" s="72">
        <v>0.16</v>
      </c>
      <c r="C7" s="69" t="s">
        <v>243</v>
      </c>
    </row>
    <row r="8" spans="1:3" x14ac:dyDescent="0.3">
      <c r="A8" s="71" t="s">
        <v>244</v>
      </c>
      <c r="B8" s="73">
        <v>6.5000000000000002E-2</v>
      </c>
      <c r="C8" s="69" t="s">
        <v>245</v>
      </c>
    </row>
    <row r="9" spans="1:3" x14ac:dyDescent="0.3">
      <c r="A9" s="71" t="s">
        <v>246</v>
      </c>
      <c r="B9" s="73">
        <v>0.04</v>
      </c>
      <c r="C9" s="69" t="s">
        <v>247</v>
      </c>
    </row>
    <row r="10" spans="1:3" x14ac:dyDescent="0.3">
      <c r="A10" s="71" t="s">
        <v>248</v>
      </c>
      <c r="B10" s="72">
        <v>0.2</v>
      </c>
      <c r="C10" s="67"/>
    </row>
    <row r="11" spans="1:3" x14ac:dyDescent="0.3">
      <c r="A11" s="71" t="s">
        <v>249</v>
      </c>
      <c r="B11" s="73">
        <v>3.2000000000000002E-3</v>
      </c>
      <c r="C11" s="69" t="s">
        <v>250</v>
      </c>
    </row>
    <row r="12" spans="1:3" x14ac:dyDescent="0.3">
      <c r="A12" s="71" t="s">
        <v>251</v>
      </c>
      <c r="B12" s="73">
        <v>0.2</v>
      </c>
      <c r="C12" s="69" t="s">
        <v>252</v>
      </c>
    </row>
    <row r="13" spans="1:3" x14ac:dyDescent="0.3">
      <c r="A13" s="71" t="s">
        <v>253</v>
      </c>
      <c r="B13" s="78" t="s">
        <v>254</v>
      </c>
      <c r="C13" s="69" t="s">
        <v>255</v>
      </c>
    </row>
    <row r="14" spans="1:3" x14ac:dyDescent="0.3">
      <c r="A14" s="71" t="s">
        <v>256</v>
      </c>
      <c r="B14" s="73">
        <v>0.15</v>
      </c>
      <c r="C14" s="69" t="s">
        <v>257</v>
      </c>
    </row>
    <row r="15" spans="1:3" x14ac:dyDescent="0.3">
      <c r="A15" s="71" t="s">
        <v>258</v>
      </c>
      <c r="B15" s="72">
        <v>1</v>
      </c>
      <c r="C15" s="69" t="s">
        <v>259</v>
      </c>
    </row>
    <row r="17" spans="1:3" x14ac:dyDescent="0.3">
      <c r="A17" s="68" t="s">
        <v>260</v>
      </c>
      <c r="B17" s="67"/>
      <c r="C17" s="67"/>
    </row>
    <row r="18" spans="1:3" x14ac:dyDescent="0.3">
      <c r="A18" s="71" t="s">
        <v>261</v>
      </c>
      <c r="B18" s="74">
        <v>0.19500000000000001</v>
      </c>
      <c r="C18" s="67"/>
    </row>
    <row r="19" spans="1:3" x14ac:dyDescent="0.3">
      <c r="A19" s="71" t="s">
        <v>262</v>
      </c>
      <c r="B19" s="74">
        <v>0.32</v>
      </c>
      <c r="C19" s="67"/>
    </row>
    <row r="20" spans="1:3" x14ac:dyDescent="0.3">
      <c r="A20" s="71" t="s">
        <v>263</v>
      </c>
      <c r="B20" s="74">
        <v>9.5999999999999992E-3</v>
      </c>
      <c r="C20" s="67"/>
    </row>
    <row r="21" spans="1:3" x14ac:dyDescent="0.3">
      <c r="A21" s="71" t="s">
        <v>264</v>
      </c>
      <c r="B21" s="74">
        <v>0.68459999999999999</v>
      </c>
      <c r="C21" s="67"/>
    </row>
    <row r="22" spans="1:3" x14ac:dyDescent="0.3">
      <c r="A22" s="71" t="s">
        <v>265</v>
      </c>
      <c r="B22" s="74">
        <v>0.13691999999999999</v>
      </c>
      <c r="C22" s="67"/>
    </row>
    <row r="23" spans="1:3" x14ac:dyDescent="0.3">
      <c r="A23" s="71" t="s">
        <v>266</v>
      </c>
      <c r="B23" s="74">
        <v>0</v>
      </c>
      <c r="C23" s="67"/>
    </row>
    <row r="24" spans="1:3" x14ac:dyDescent="0.3">
      <c r="A24" s="71" t="s">
        <v>267</v>
      </c>
      <c r="B24" s="74">
        <v>0.82152000000000003</v>
      </c>
      <c r="C24" s="67"/>
    </row>
    <row r="25" spans="1:3" x14ac:dyDescent="0.3">
      <c r="A25" s="71" t="s">
        <v>268</v>
      </c>
      <c r="B25" s="74">
        <v>2.17848</v>
      </c>
      <c r="C25" s="67"/>
    </row>
    <row r="26" spans="1:3" x14ac:dyDescent="0.3">
      <c r="A26" s="71" t="s">
        <v>269</v>
      </c>
      <c r="B26" s="75">
        <v>0.27383999999999997</v>
      </c>
      <c r="C26" s="67"/>
    </row>
    <row r="28" spans="1:3" x14ac:dyDescent="0.3">
      <c r="A28" s="68" t="s">
        <v>270</v>
      </c>
      <c r="B28" s="67"/>
      <c r="C28" s="67"/>
    </row>
    <row r="29" spans="1:3" x14ac:dyDescent="0.3">
      <c r="A29" s="71" t="s">
        <v>233</v>
      </c>
      <c r="B29" s="76">
        <v>10</v>
      </c>
      <c r="C29" s="67"/>
    </row>
    <row r="30" spans="1:3" x14ac:dyDescent="0.3">
      <c r="A30" s="71" t="s">
        <v>271</v>
      </c>
      <c r="B30" s="74">
        <v>8.2151999999999994</v>
      </c>
      <c r="C30" s="67"/>
    </row>
    <row r="31" spans="1:3" x14ac:dyDescent="0.3">
      <c r="A31" s="71" t="s">
        <v>272</v>
      </c>
      <c r="B31" s="74">
        <v>30</v>
      </c>
      <c r="C31" s="69" t="s">
        <v>273</v>
      </c>
    </row>
    <row r="33" spans="1:1" x14ac:dyDescent="0.3">
      <c r="A33" s="69" t="s">
        <v>274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tabSelected="1" workbookViewId="0">
      <selection sqref="A1:C29"/>
    </sheetView>
  </sheetViews>
  <sheetFormatPr defaultRowHeight="14.4" x14ac:dyDescent="0.3"/>
  <sheetData>
    <row r="1" spans="1:3" ht="17.399999999999999" x14ac:dyDescent="0.3">
      <c r="A1" s="89" t="s">
        <v>275</v>
      </c>
      <c r="B1" s="79"/>
      <c r="C1" s="79"/>
    </row>
    <row r="2" spans="1:3" x14ac:dyDescent="0.3">
      <c r="A2" s="81" t="s">
        <v>276</v>
      </c>
      <c r="B2" s="79"/>
      <c r="C2" s="79"/>
    </row>
    <row r="4" spans="1:3" x14ac:dyDescent="0.3">
      <c r="A4" s="80" t="s">
        <v>239</v>
      </c>
      <c r="B4" s="79"/>
      <c r="C4" s="79"/>
    </row>
    <row r="5" spans="1:3" x14ac:dyDescent="0.3">
      <c r="A5" s="82" t="s">
        <v>3</v>
      </c>
      <c r="B5" s="82" t="s">
        <v>121</v>
      </c>
      <c r="C5" s="82" t="s">
        <v>6</v>
      </c>
    </row>
    <row r="6" spans="1:3" x14ac:dyDescent="0.3">
      <c r="A6" s="83" t="s">
        <v>215</v>
      </c>
      <c r="B6" s="84">
        <v>3</v>
      </c>
      <c r="C6" s="81" t="s">
        <v>277</v>
      </c>
    </row>
    <row r="7" spans="1:3" x14ac:dyDescent="0.3">
      <c r="A7" s="83" t="s">
        <v>278</v>
      </c>
      <c r="B7" s="85">
        <v>0.15</v>
      </c>
      <c r="C7" s="81" t="s">
        <v>279</v>
      </c>
    </row>
    <row r="8" spans="1:3" x14ac:dyDescent="0.3">
      <c r="A8" s="83" t="s">
        <v>280</v>
      </c>
      <c r="B8" s="84">
        <v>0.25</v>
      </c>
      <c r="C8" s="81" t="s">
        <v>281</v>
      </c>
    </row>
    <row r="9" spans="1:3" x14ac:dyDescent="0.3">
      <c r="A9" s="83" t="s">
        <v>282</v>
      </c>
      <c r="B9" s="85">
        <v>0.02</v>
      </c>
      <c r="C9" s="81" t="s">
        <v>283</v>
      </c>
    </row>
    <row r="10" spans="1:3" x14ac:dyDescent="0.3">
      <c r="A10" s="83" t="s">
        <v>284</v>
      </c>
      <c r="B10" s="90" t="s">
        <v>254</v>
      </c>
      <c r="C10" s="81" t="s">
        <v>285</v>
      </c>
    </row>
    <row r="11" spans="1:3" x14ac:dyDescent="0.3">
      <c r="A11" s="83" t="s">
        <v>286</v>
      </c>
      <c r="B11" s="84">
        <v>25</v>
      </c>
      <c r="C11" s="79"/>
    </row>
    <row r="12" spans="1:3" x14ac:dyDescent="0.3">
      <c r="A12" s="83" t="s">
        <v>287</v>
      </c>
      <c r="B12" s="84">
        <v>0.75</v>
      </c>
      <c r="C12" s="79"/>
    </row>
    <row r="13" spans="1:3" x14ac:dyDescent="0.3">
      <c r="A13" s="83" t="s">
        <v>288</v>
      </c>
      <c r="B13" s="85">
        <v>0.35</v>
      </c>
      <c r="C13" s="81" t="s">
        <v>289</v>
      </c>
    </row>
    <row r="15" spans="1:3" x14ac:dyDescent="0.3">
      <c r="A15" s="80" t="s">
        <v>290</v>
      </c>
      <c r="B15" s="79"/>
      <c r="C15" s="79"/>
    </row>
    <row r="16" spans="1:3" x14ac:dyDescent="0.3">
      <c r="A16" s="83" t="s">
        <v>291</v>
      </c>
      <c r="B16" s="86">
        <v>0.45</v>
      </c>
      <c r="C16" s="79"/>
    </row>
    <row r="17" spans="1:3" x14ac:dyDescent="0.3">
      <c r="A17" s="83" t="s">
        <v>292</v>
      </c>
      <c r="B17" s="86">
        <v>0.45900000000000002</v>
      </c>
      <c r="C17" s="79"/>
    </row>
    <row r="18" spans="1:3" x14ac:dyDescent="0.3">
      <c r="A18" s="83" t="s">
        <v>293</v>
      </c>
      <c r="B18" s="86">
        <v>0.75</v>
      </c>
      <c r="C18" s="81" t="s">
        <v>294</v>
      </c>
    </row>
    <row r="19" spans="1:3" x14ac:dyDescent="0.3">
      <c r="A19" s="83" t="s">
        <v>295</v>
      </c>
      <c r="B19" s="86">
        <v>1.2090000000000001</v>
      </c>
      <c r="C19" s="79"/>
    </row>
    <row r="20" spans="1:3" x14ac:dyDescent="0.3">
      <c r="A20" s="83" t="s">
        <v>296</v>
      </c>
      <c r="B20" s="86">
        <v>1.7909999999999999</v>
      </c>
      <c r="C20" s="79"/>
    </row>
    <row r="21" spans="1:3" x14ac:dyDescent="0.3">
      <c r="A21" s="83" t="s">
        <v>297</v>
      </c>
      <c r="B21" s="87">
        <v>0.40300000000000002</v>
      </c>
      <c r="C21" s="79"/>
    </row>
    <row r="23" spans="1:3" x14ac:dyDescent="0.3">
      <c r="A23" s="80" t="s">
        <v>298</v>
      </c>
      <c r="B23" s="79"/>
      <c r="C23" s="79"/>
    </row>
    <row r="24" spans="1:3" x14ac:dyDescent="0.3">
      <c r="A24" s="83" t="s">
        <v>233</v>
      </c>
      <c r="B24" s="88">
        <v>10</v>
      </c>
      <c r="C24" s="79"/>
    </row>
    <row r="25" spans="1:3" x14ac:dyDescent="0.3">
      <c r="A25" s="83" t="s">
        <v>299</v>
      </c>
      <c r="B25" s="86">
        <v>12.09</v>
      </c>
      <c r="C25" s="79"/>
    </row>
    <row r="26" spans="1:3" x14ac:dyDescent="0.3">
      <c r="A26" s="83" t="s">
        <v>300</v>
      </c>
      <c r="B26" s="86">
        <v>0</v>
      </c>
      <c r="C26" s="79"/>
    </row>
    <row r="27" spans="1:3" x14ac:dyDescent="0.3">
      <c r="A27" s="83" t="s">
        <v>301</v>
      </c>
      <c r="B27" s="86">
        <v>0</v>
      </c>
      <c r="C27" s="81" t="s">
        <v>302</v>
      </c>
    </row>
    <row r="29" spans="1:3" x14ac:dyDescent="0.3">
      <c r="A29" s="81" t="s">
        <v>303</v>
      </c>
      <c r="B29" s="79"/>
      <c r="C29" s="7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2026-08-06T04:11:28Z</dcterms:modified>
  <dc:language>en-US</dc:language>
</cp:coreProperties>
</file>