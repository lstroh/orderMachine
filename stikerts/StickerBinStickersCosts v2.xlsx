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500" firstSheet="0" activeTab="2" autoFilterDateGrouping="1"/>
  </bookViews>
  <sheets>
    <sheet xmlns:r="http://schemas.openxmlformats.org/officeDocument/2006/relationships" name="Tier 1 Equipment Costs" sheetId="1" state="visible" r:id="rId1"/>
    <sheet xmlns:r="http://schemas.openxmlformats.org/officeDocument/2006/relationships" name="Bin Stickers 100x140 4pk" sheetId="2" state="visible" r:id="rId2"/>
    <sheet xmlns:r="http://schemas.openxmlformats.org/officeDocument/2006/relationships" name="Recurring Overhead" sheetId="3" state="visible" r:id="rId3"/>
  </sheets>
  <definedNames/>
  <calcPr calcId="191029" fullCalcOnLoad="1" iterateDelta="0.0001"/>
</workbook>
</file>

<file path=xl/styles.xml><?xml version="1.0" encoding="utf-8"?>
<styleSheet xmlns="http://schemas.openxmlformats.org/spreadsheetml/2006/main">
  <numFmts count="2">
    <numFmt numFmtId="164" formatCode="\£#,##0.00"/>
    <numFmt numFmtId="165" formatCode="0.0"/>
  </numFmts>
  <fonts count="29">
    <font>
      <name val="Calibri"/>
      <charset val="1"/>
      <family val="2"/>
      <color theme="1"/>
      <sz val="11"/>
    </font>
    <font>
      <name val="Arial"/>
      <charset val="1"/>
      <b val="1"/>
      <color rgb="FF1F3864"/>
      <sz val="14"/>
    </font>
    <font>
      <name val="Arial"/>
      <charset val="1"/>
      <i val="1"/>
      <color rgb="FF666666"/>
      <sz val="9"/>
    </font>
    <font>
      <name val="Arial"/>
      <charset val="1"/>
      <b val="1"/>
      <color rgb="FFFFFFFF"/>
      <sz val="11"/>
    </font>
    <font>
      <name val="Arial"/>
      <charset val="1"/>
      <color rgb="FF000000"/>
      <sz val="11"/>
    </font>
    <font>
      <name val="Arial"/>
      <charset val="1"/>
      <color rgb="FF0000FF"/>
      <sz val="11"/>
    </font>
    <font>
      <name val="Arial"/>
      <charset val="1"/>
      <b val="1"/>
      <color rgb="FF000000"/>
      <sz val="11"/>
    </font>
    <font>
      <name val="Arial"/>
      <charset val="1"/>
      <b val="1"/>
      <color rgb="FF1F3864"/>
      <sz val="11"/>
    </font>
    <font>
      <name val="Arial"/>
      <charset val="1"/>
      <b val="1"/>
      <color rgb="FFFFFFFF"/>
      <sz val="12"/>
    </font>
    <font>
      <name val="Arial"/>
      <charset val="1"/>
      <b val="1"/>
      <color rgb="FF1F3864"/>
      <sz val="12"/>
    </font>
    <font>
      <name val="Arial"/>
      <charset val="1"/>
      <color rgb="FF008000"/>
      <sz val="11"/>
    </font>
    <font>
      <name val="Calibri"/>
      <charset val="1"/>
      <b val="1"/>
      <color rgb="FF1F3864"/>
      <sz val="13"/>
    </font>
    <font>
      <name val="Calibri"/>
      <charset val="1"/>
      <color rgb="FF666666"/>
      <sz val="11"/>
    </font>
    <font>
      <name val="Calibri"/>
      <charset val="1"/>
      <b val="1"/>
      <color rgb="FF1F3864"/>
      <sz val="11"/>
    </font>
    <font>
      <name val="Calibri"/>
      <charset val="1"/>
      <b val="1"/>
      <color rgb="FFFFFFFF"/>
      <sz val="11"/>
    </font>
    <font>
      <name val="Calibri"/>
      <charset val="1"/>
      <color rgb="FF0000FF"/>
      <sz val="11"/>
    </font>
    <font>
      <name val="Calibri"/>
      <charset val="1"/>
      <b val="1"/>
      <color rgb="FF000000"/>
      <sz val="11"/>
    </font>
    <font>
      <name val="Calibri"/>
      <charset val="1"/>
      <color rgb="FF000000"/>
      <sz val="11"/>
    </font>
    <font>
      <name val="Calibri"/>
      <charset val="1"/>
      <sz val="11"/>
    </font>
    <font>
      <name val="Calibri"/>
      <charset val="1"/>
      <b val="1"/>
      <sz val="11"/>
    </font>
    <font>
      <name val="Calibri"/>
      <charset val="1"/>
      <color rgb="FF008000"/>
      <sz val="11"/>
    </font>
    <font>
      <name val="Calibri"/>
      <charset val="1"/>
      <i val="1"/>
      <color rgb="FF666666"/>
      <sz val="9"/>
    </font>
    <font>
      <name val="Arial"/>
      <family val="2"/>
      <b val="1"/>
      <color rgb="FF5F6368"/>
      <sz val="13.5"/>
    </font>
    <font>
      <name val="Arial"/>
      <family val="2"/>
      <b val="1"/>
      <color rgb="FF1F1F1F"/>
      <sz val="13.5"/>
    </font>
    <font>
      <name val="Segoe UI"/>
      <family val="2"/>
      <color rgb="FF555555"/>
      <sz val="10"/>
    </font>
    <font>
      <name val="Segoe UI"/>
      <family val="2"/>
      <color rgb="FF555555"/>
      <sz val="10"/>
    </font>
    <font>
      <name val="Calibri"/>
      <charset val="1"/>
      <family val="2"/>
      <color theme="10"/>
      <sz val="11"/>
      <u val="single"/>
    </font>
    <font>
      <name val="Arial"/>
      <family val="2"/>
      <color rgb="FF1F1F1F"/>
      <sz val="13"/>
    </font>
    <font>
      <name val="Arial"/>
      <family val="2"/>
      <color rgb="FF000000"/>
      <sz val="11"/>
    </font>
  </fonts>
  <fills count="5">
    <fill>
      <patternFill/>
    </fill>
    <fill>
      <patternFill patternType="gray125"/>
    </fill>
    <fill>
      <patternFill patternType="solid">
        <fgColor rgb="FF1F3864"/>
        <bgColor rgb="FF333333"/>
      </patternFill>
    </fill>
    <fill>
      <patternFill patternType="solid">
        <fgColor rgb="FFDCE6F1"/>
        <bgColor rgb="FFCCFFFF"/>
      </patternFill>
    </fill>
    <fill>
      <patternFill patternType="solid">
        <fgColor rgb="FFFFFF00"/>
        <bgColor rgb="FFFFFF00"/>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2">
    <xf numFmtId="0" fontId="0" fillId="0" borderId="0"/>
    <xf numFmtId="0" fontId="26" fillId="0" borderId="0"/>
  </cellStyleXfs>
  <cellXfs count="57">
    <xf numFmtId="0" fontId="0" fillId="0" borderId="0" pivotButton="0" quotePrefix="0" xfId="0"/>
    <xf numFmtId="0" fontId="2" fillId="0" borderId="0" pivotButton="0" quotePrefix="0" xfId="0"/>
    <xf numFmtId="0" fontId="21" fillId="0" borderId="0" pivotButton="0" quotePrefix="0" xfId="0"/>
    <xf numFmtId="0" fontId="19" fillId="0" borderId="0" pivotButton="0" quotePrefix="0" xfId="0"/>
    <xf numFmtId="0" fontId="1" fillId="0" borderId="0" pivotButton="0" quotePrefix="0" xfId="0"/>
    <xf numFmtId="0" fontId="3" fillId="2" borderId="1" applyAlignment="1" pivotButton="0" quotePrefix="0" xfId="0">
      <alignment horizontal="center" vertical="center" wrapText="1"/>
    </xf>
    <xf numFmtId="0" fontId="4" fillId="0" borderId="1" pivotButton="0" quotePrefix="0" xfId="0"/>
    <xf numFmtId="164" fontId="5" fillId="0" borderId="1" pivotButton="0" quotePrefix="0" xfId="0"/>
    <xf numFmtId="0" fontId="2" fillId="0" borderId="1" pivotButton="0" quotePrefix="0" xfId="0"/>
    <xf numFmtId="0" fontId="6" fillId="3" borderId="1" pivotButton="0" quotePrefix="0" xfId="0"/>
    <xf numFmtId="164" fontId="6" fillId="3" borderId="1" pivotButton="0" quotePrefix="0" xfId="0"/>
    <xf numFmtId="0" fontId="0" fillId="3" borderId="1" pivotButton="0" quotePrefix="0" xfId="0"/>
    <xf numFmtId="0" fontId="7" fillId="0" borderId="0" pivotButton="0" quotePrefix="0" xfId="0"/>
    <xf numFmtId="0" fontId="8" fillId="2" borderId="1" pivotButton="0" quotePrefix="0" xfId="0"/>
    <xf numFmtId="164" fontId="8" fillId="2" borderId="1" pivotButton="0" quotePrefix="0" xfId="0"/>
    <xf numFmtId="0" fontId="0" fillId="2" borderId="1" pivotButton="0" quotePrefix="0" xfId="0"/>
    <xf numFmtId="0" fontId="3" fillId="2" borderId="0" pivotButton="0" quotePrefix="0" xfId="0"/>
    <xf numFmtId="0" fontId="4" fillId="0" borderId="0" pivotButton="0" quotePrefix="0" xfId="0"/>
    <xf numFmtId="164" fontId="5" fillId="0" borderId="0" pivotButton="0" quotePrefix="0" xfId="0"/>
    <xf numFmtId="0" fontId="6" fillId="3" borderId="0" pivotButton="0" quotePrefix="0" xfId="0"/>
    <xf numFmtId="164" fontId="6" fillId="3" borderId="0" pivotButton="0" quotePrefix="0" xfId="0"/>
    <xf numFmtId="0" fontId="8" fillId="2" borderId="0" pivotButton="0" quotePrefix="0" xfId="0"/>
    <xf numFmtId="164" fontId="8" fillId="2" borderId="0" pivotButton="0" quotePrefix="0" xfId="0"/>
    <xf numFmtId="0" fontId="9" fillId="0" borderId="0" pivotButton="0" quotePrefix="0" xfId="0"/>
    <xf numFmtId="164" fontId="10" fillId="0" borderId="0" pivotButton="0" quotePrefix="0" xfId="0"/>
    <xf numFmtId="0" fontId="6" fillId="0" borderId="0" pivotButton="0" quotePrefix="0" xfId="0"/>
    <xf numFmtId="164" fontId="6" fillId="0" borderId="0" pivotButton="0" quotePrefix="0" xfId="0"/>
    <xf numFmtId="164" fontId="4" fillId="0" borderId="0" pivotButton="0" quotePrefix="0" xfId="0"/>
    <xf numFmtId="1" fontId="6" fillId="3" borderId="0" pivotButton="0" quotePrefix="0" xfId="0"/>
    <xf numFmtId="0" fontId="11" fillId="0" borderId="0" pivotButton="0" quotePrefix="0" xfId="0"/>
    <xf numFmtId="0" fontId="12" fillId="0" borderId="0" pivotButton="0" quotePrefix="0" xfId="0"/>
    <xf numFmtId="0" fontId="13" fillId="0" borderId="0" pivotButton="0" quotePrefix="0" xfId="0"/>
    <xf numFmtId="0" fontId="14" fillId="2" borderId="0" pivotButton="0" quotePrefix="0" xfId="0"/>
    <xf numFmtId="0" fontId="15" fillId="4" borderId="0" pivotButton="0" quotePrefix="0" xfId="0"/>
    <xf numFmtId="164" fontId="15" fillId="4" borderId="0" pivotButton="0" quotePrefix="0" xfId="0"/>
    <xf numFmtId="164" fontId="16" fillId="3" borderId="0" pivotButton="0" quotePrefix="0" xfId="0"/>
    <xf numFmtId="1" fontId="17" fillId="0" borderId="0" pivotButton="0" quotePrefix="0" xfId="0"/>
    <xf numFmtId="0" fontId="18" fillId="0" borderId="0" pivotButton="0" quotePrefix="0" xfId="0"/>
    <xf numFmtId="164" fontId="14" fillId="2" borderId="0" pivotButton="0" quotePrefix="0" xfId="0"/>
    <xf numFmtId="0" fontId="12" fillId="0" borderId="0" applyAlignment="1" pivotButton="0" quotePrefix="0" xfId="0">
      <alignment vertical="top" wrapText="1"/>
    </xf>
    <xf numFmtId="164" fontId="19" fillId="3" borderId="0" pivotButton="0" quotePrefix="0" xfId="0"/>
    <xf numFmtId="164" fontId="18" fillId="0" borderId="0" pivotButton="0" quotePrefix="0" xfId="0"/>
    <xf numFmtId="164" fontId="18" fillId="3" borderId="0" pivotButton="0" quotePrefix="0" xfId="0"/>
    <xf numFmtId="164" fontId="20" fillId="0" borderId="0" pivotButton="0" quotePrefix="0" xfId="0"/>
    <xf numFmtId="1" fontId="5" fillId="0" borderId="0" pivotButton="0" quotePrefix="0" xfId="0"/>
    <xf numFmtId="1" fontId="4" fillId="0" borderId="0" pivotButton="0" quotePrefix="0" xfId="0"/>
    <xf numFmtId="165" fontId="5" fillId="4" borderId="0" pivotButton="0" quotePrefix="0" xfId="0"/>
    <xf numFmtId="0" fontId="5" fillId="4" borderId="0" pivotButton="0" quotePrefix="0" xfId="0"/>
    <xf numFmtId="0" fontId="23" fillId="0" borderId="0" applyAlignment="1" pivotButton="0" quotePrefix="0" xfId="0">
      <alignment horizontal="left" vertical="center"/>
    </xf>
    <xf numFmtId="0" fontId="24" fillId="0" borderId="0" pivotButton="0" quotePrefix="0" xfId="0"/>
    <xf numFmtId="0" fontId="25" fillId="0" borderId="0" pivotButton="0" quotePrefix="0" xfId="0"/>
    <xf numFmtId="0" fontId="26" fillId="0" borderId="0" pivotButton="0" quotePrefix="0" xfId="1"/>
    <xf numFmtId="0" fontId="2" fillId="0" borderId="0" pivotButton="0" quotePrefix="0" xfId="0"/>
    <xf numFmtId="0" fontId="19" fillId="0" borderId="0" pivotButton="0" quotePrefix="0" xfId="0"/>
    <xf numFmtId="0" fontId="21" fillId="0" borderId="0" pivotButton="0" quotePrefix="0" xfId="0"/>
    <xf numFmtId="0" fontId="27" fillId="0" borderId="0" pivotButton="0" quotePrefix="0" xfId="0"/>
    <xf numFmtId="0" fontId="28" fillId="0" borderId="0" pivotButton="0" quotePrefix="0" xfId="0"/>
  </cellXfs>
  <cellStyles count="2">
    <cellStyle name="Normal" xfId="0" builtinId="0"/>
    <cellStyle name="Hyperlink" xfId="1" builtinId="8"/>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FCC"/>
      <rgbColor rgb="FFDCE6F1"/>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mazon.co.uk/dp/B0DK3V552G?ref=ppx_yo2ov_dt_b_fed_asin_title" TargetMode="External" Id="rId1"/><Relationship Type="http://schemas.openxmlformats.org/officeDocument/2006/relationships/hyperlink" Target="https://www.amazon.co.uk/dp/B0DXY7Q984?ref=ppx_yo2ov_dt_b_fed_asin_title" TargetMode="External" Id="rId2"/><Relationship Type="http://schemas.openxmlformats.org/officeDocument/2006/relationships/hyperlink" Target="https://www.amazon.co.uk/dp/B0DJZFTP56?ref=ppx_yo2ov_dt_b_fed_asin_title" TargetMode="External" Id="rId3"/><Relationship Type="http://schemas.openxmlformats.org/officeDocument/2006/relationships/hyperlink" Target="https://www.amazon.co.uk/dp/B082WLC8BJ?ref=ppx_yo2ov_dt_b_fed_asin_title" TargetMode="External" Id="rId4"/><Relationship Type="http://schemas.openxmlformats.org/officeDocument/2006/relationships/hyperlink" Target="https://www.amazon.co.uk/dp/B0BNQW8LY3?ref=ppx_yo2ov_dt_b_fed_asin_title" TargetMode="External" Id="rId5"/><Relationship Type="http://schemas.openxmlformats.org/officeDocument/2006/relationships/hyperlink" Target="https://www.amazon.co.uk/dp/B0DFZ6585M?ref=ppx_yo2ov_dt_b_fed_asin_title" TargetMode="External" Id="rId6"/><Relationship Type="http://schemas.openxmlformats.org/officeDocument/2006/relationships/hyperlink" Target="https://www.amazon.co.uk/dp/B094454Q6P?ref=ppx_yo2ov_dt_b_fed_asin_title" TargetMode="External" Id="rId7"/></Relationships>
</file>

<file path=xl/worksheets/sheet1.xml><?xml version="1.0" encoding="utf-8"?>
<worksheet xmlns="http://schemas.openxmlformats.org/spreadsheetml/2006/main">
  <sheetPr>
    <outlinePr summaryBelow="1" summaryRight="1"/>
    <pageSetUpPr/>
  </sheetPr>
  <dimension ref="A1:I59"/>
  <sheetViews>
    <sheetView zoomScaleNormal="100" workbookViewId="0">
      <pane ySplit="4" topLeftCell="A43" activePane="bottomLeft" state="frozen"/>
      <selection pane="bottomLeft" activeCell="B45" sqref="B45"/>
    </sheetView>
  </sheetViews>
  <sheetFormatPr baseColWidth="8" defaultColWidth="8.6640625" defaultRowHeight="14.4"/>
  <cols>
    <col width="42" customWidth="1" min="1" max="1"/>
    <col width="14" customWidth="1" min="2" max="3"/>
    <col width="46" customWidth="1" min="4" max="4"/>
  </cols>
  <sheetData>
    <row r="1" ht="17.25" customHeight="1">
      <c r="A1" s="4" t="inlineStr">
        <is>
          <t>Tier 1 Equipment Costs — Sticker Side Hustle</t>
        </is>
      </c>
    </row>
    <row r="2" ht="15" customHeight="1">
      <c r="A2" s="52" t="inlineStr">
        <is>
          <t>Prices checked July 2026 (GBP). Blue = editable input. Black = calculated.</t>
        </is>
      </c>
    </row>
    <row r="4" ht="15" customHeight="1">
      <c r="A4" s="5" t="inlineStr">
        <is>
          <t>Item</t>
        </is>
      </c>
      <c r="B4" s="5" t="inlineStr">
        <is>
          <t>Low (£)</t>
        </is>
      </c>
      <c r="C4" s="5" t="inlineStr">
        <is>
          <t>Category</t>
        </is>
      </c>
      <c r="D4" s="5" t="inlineStr">
        <is>
          <t>Notes</t>
        </is>
      </c>
    </row>
    <row r="5" ht="15" customHeight="1">
      <c r="A5" s="6" t="inlineStr">
        <is>
          <t>Epson EcoTank ET-3950 (pigment-ink printer, current gen)</t>
        </is>
      </c>
      <c r="B5" s="7" t="n">
        <v>370</v>
      </c>
      <c r="C5" s="6" t="inlineStr">
        <is>
          <t>Core</t>
        </is>
      </c>
      <c r="D5" s="8" t="inlineStr">
        <is>
          <t>Pigment black ink for waterproof prints</t>
        </is>
      </c>
    </row>
    <row r="6" ht="15" customHeight="1">
      <c r="A6" s="6" t="inlineStr">
        <is>
          <t>Printable vinyl sticker paper (starter pack)</t>
        </is>
      </c>
      <c r="B6" s="7" t="n">
        <v>0</v>
      </c>
      <c r="C6" s="6" t="inlineStr">
        <is>
          <t>Core</t>
        </is>
      </c>
      <c r="D6" s="8" t="inlineStr">
        <is>
          <t>A4 waterproof printable vinyl</t>
        </is>
      </c>
      <c r="E6" t="inlineStr">
        <is>
          <t>moved to r&amp;d</t>
        </is>
      </c>
    </row>
    <row r="7" ht="15" customHeight="1">
      <c r="A7" s="6" t="inlineStr">
        <is>
          <t>Self-adhesive laminate sheets + squeegee</t>
        </is>
      </c>
      <c r="B7" s="7" t="n">
        <v>0</v>
      </c>
      <c r="C7" s="6" t="inlineStr">
        <is>
          <t>Core</t>
        </is>
      </c>
      <c r="D7" s="8" t="inlineStr">
        <is>
          <t>Cold lamination sheets, feeds through laminator</t>
        </is>
      </c>
      <c r="E7" t="inlineStr">
        <is>
          <t>moved to r&amp;d</t>
        </is>
      </c>
    </row>
    <row r="8" ht="15" customHeight="1">
      <c r="A8" s="6" t="inlineStr">
        <is>
          <t>Manual cold roll laminator (VEVOR, A4 width min.)</t>
        </is>
      </c>
      <c r="B8" s="7" t="n">
        <v>105</v>
      </c>
      <c r="C8" s="6" t="inlineStr">
        <is>
          <t>Core</t>
        </is>
      </c>
      <c r="D8" s="8" t="inlineStr">
        <is>
          <t>Promoted from optional — removes bubble/wrinkle risk vs hand-applying</t>
        </is>
      </c>
      <c r="E8" s="48" t="inlineStr">
        <is>
          <t xml:space="preserve">Stickiply </t>
        </is>
      </c>
    </row>
    <row r="9" ht="15" customHeight="1">
      <c r="A9" s="6" t="inlineStr">
        <is>
          <t>Backup Epson 101/102 ink bottles</t>
        </is>
      </c>
      <c r="B9" s="7" t="n">
        <v>0</v>
      </c>
      <c r="C9" s="6" t="inlineStr">
        <is>
          <t>Core</t>
        </is>
      </c>
      <c r="D9" s="8" t="inlineStr">
        <is>
          <t>UK naming (not '502' — that's US)</t>
        </is>
      </c>
    </row>
    <row r="10" ht="15" customHeight="1">
      <c r="A10" t="inlineStr">
        <is>
          <t>A4 guillotine/paper trimmer (metal-base)</t>
        </is>
      </c>
      <c r="B10" t="n">
        <v>38</v>
      </c>
      <c r="C10" t="inlineStr">
        <is>
          <t>Core</t>
        </is>
      </c>
      <c r="D10" t="inlineStr">
        <is>
          <t>Straight-cuts the A4 sheet into 4 bin stickers (and thank-you cards to A6) — replaces Cricut Print Then Cut for this product, see Equipment Guide</t>
        </is>
      </c>
    </row>
    <row r="11">
      <c r="A11" t="inlineStr">
        <is>
          <t>Corner rounder punch (3-in-1)</t>
        </is>
      </c>
      <c r="B11" t="n">
        <v>7</v>
      </c>
      <c r="C11" t="inlineStr">
        <is>
          <t>Core</t>
        </is>
      </c>
      <c r="D11" t="inlineStr">
        <is>
          <t>Rounds bin sticker corners — test on laminated vinyl before bulk buying, see Material Test Plan addendum</t>
        </is>
      </c>
    </row>
    <row r="12" ht="15" customHeight="1">
      <c r="A12" t="inlineStr">
        <is>
          <t>Slice 00200/00100 safety cutter</t>
        </is>
      </c>
      <c r="B12" t="n">
        <v>5</v>
      </c>
      <c r="C12" t="inlineStr">
        <is>
          <t>Core</t>
        </is>
      </c>
      <c r="D12" t="inlineStr">
        <is>
          <t>Manual peel-start nick through vinyl + laminate without cutting the backing</t>
        </is>
      </c>
    </row>
    <row r="13" ht="15" customHeight="1">
      <c r="A13" s="49" t="inlineStr">
        <is>
          <t>Self-Healing Cutting Mat (A4)</t>
        </is>
      </c>
      <c r="B13" t="n">
        <v>4</v>
      </c>
    </row>
    <row r="14" ht="15" customHeight="1">
      <c r="A14" s="9" t="inlineStr">
        <is>
          <t>CORE SUBTOTAL (required to start)</t>
        </is>
      </c>
      <c r="B14" s="10">
        <f>SUM(B5:B13)</f>
        <v/>
      </c>
      <c r="C14" s="11" t="n"/>
      <c r="D14" s="11" t="n"/>
    </row>
    <row r="15" ht="15" customHeight="1"/>
    <row r="16" ht="15" customHeight="1">
      <c r="A16" s="12" t="inlineStr">
        <is>
          <t>Optional Equipment (not required to launch)</t>
        </is>
      </c>
    </row>
    <row r="17" ht="15" customHeight="1">
      <c r="A17" s="5" t="inlineStr">
        <is>
          <t>Item</t>
        </is>
      </c>
      <c r="B17" s="5" t="inlineStr">
        <is>
          <t>Low (£)</t>
        </is>
      </c>
      <c r="C17" s="5" t="inlineStr">
        <is>
          <t>Category</t>
        </is>
      </c>
      <c r="D17" s="5" t="inlineStr">
        <is>
          <t>Notes</t>
        </is>
      </c>
    </row>
    <row r="18" ht="15" customHeight="1">
      <c r="A18" s="6" t="inlineStr">
        <is>
          <t>Cricut Access Standard subscription (annual)</t>
        </is>
      </c>
      <c r="B18" s="7" t="n">
        <v>96</v>
      </c>
      <c r="C18" s="6" t="inlineStr">
        <is>
          <t>Optional</t>
        </is>
      </c>
      <c r="D18" s="8" t="inlineStr">
        <is>
          <t>~$9.99/mo; not needed for custom text/number designs — free tier covers your use case</t>
        </is>
      </c>
    </row>
    <row r="19">
      <c r="A19" s="6" t="inlineStr">
        <is>
          <t>Cricut Explore 5 Essential Bundle (alternative to buying machine + materials separately)</t>
        </is>
      </c>
      <c r="B19" s="7" t="n">
        <v>249.99</v>
      </c>
      <c r="C19" s="6" t="inlineStr">
        <is>
          <t>Optional (alt. path)</t>
        </is>
      </c>
      <c r="D19" s="8" t="inlineStr">
        <is>
          <t>Machine + Smart Vinyl/Iron-On/Cardstock/Printable Vinyl bundled — compare to buying items individually before choosing</t>
        </is>
      </c>
    </row>
    <row r="20" ht="15" customHeight="1">
      <c r="A20" s="6" t="inlineStr">
        <is>
          <t>Cricut Printable Waterproof Sticker Set – A4, 6ct (alternative vinyl+laminate source)</t>
        </is>
      </c>
      <c r="B20" s="7" t="n">
        <v>11.19</v>
      </c>
      <c r="C20" s="6" t="inlineStr">
        <is>
          <t>Optional (alt. path)</t>
        </is>
      </c>
      <c r="D20" s="8" t="inlineStr">
        <is>
          <t>Matched vinyl+laminate pair per set, waterproof/UV-resistant 2yrs — alternative to sourcing vinyl and laminate separately above</t>
        </is>
      </c>
    </row>
    <row r="21" ht="15" customHeight="1">
      <c r="A21" s="6" t="inlineStr">
        <is>
          <t>Cricut Explore 5 (cutting machine, current gen)</t>
        </is>
      </c>
      <c r="B21" s="7" t="n">
        <v>250</v>
      </c>
      <c r="C21" s="6" t="inlineStr">
        <is>
          <t>Core</t>
        </is>
      </c>
      <c r="D21" s="8" t="inlineStr">
        <is>
          <t>Print-Then-Cut vinyl cutter</t>
        </is>
      </c>
    </row>
    <row r="22">
      <c r="A22" s="9" t="inlineStr">
        <is>
          <t>OPTIONAL SUBTOTAL (Access subscription only — bundle/Cricut-set are alt. paths, not additive)</t>
        </is>
      </c>
      <c r="B22" s="10">
        <f>SUM(B18:B21)</f>
        <v/>
      </c>
      <c r="C22" s="11" t="n"/>
      <c r="D22" s="11" t="n"/>
    </row>
    <row r="23" ht="15" customHeight="1"/>
    <row r="24" ht="15" customHeight="1">
      <c r="A24" s="13" t="inlineStr">
        <is>
          <t>TOTAL — Core + Cricut Access (recommended launch budget)</t>
        </is>
      </c>
      <c r="B24" s="14">
        <f>B14+B18</f>
        <v/>
      </c>
      <c r="C24" s="15" t="n"/>
      <c r="D24" s="15" t="n"/>
    </row>
    <row r="26">
      <c r="A26" s="52" t="inlineStr">
        <is>
          <t>Note: the Essential Bundle and the Cricut Printable Waterproof Sticker Set are alternative purchase</t>
        </is>
      </c>
    </row>
    <row r="27">
      <c r="A27" s="52" t="inlineStr">
        <is>
          <t>paths — don't add them on top of the Core items above, they replace several of them.</t>
        </is>
      </c>
    </row>
    <row r="29">
      <c r="A29" s="12" t="inlineStr">
        <is>
          <t>R&amp;D / Testing Materials (one-off, sunk cost — see Bin-Sticker-Material-Test-Plan.md)</t>
        </is>
      </c>
    </row>
    <row r="30">
      <c r="A30" s="16" t="inlineStr">
        <is>
          <t>Item</t>
        </is>
      </c>
      <c r="B30" s="16" t="inlineStr">
        <is>
          <t>Low (£)</t>
        </is>
      </c>
      <c r="C30" s="16" t="inlineStr">
        <is>
          <t>Category</t>
        </is>
      </c>
      <c r="D30" s="16" t="inlineStr">
        <is>
          <t>Notes</t>
        </is>
      </c>
      <c r="E30" s="16" t="inlineStr">
        <is>
          <t>count</t>
        </is>
      </c>
    </row>
    <row r="31" ht="15" customHeight="1">
      <c r="A31" s="50" t="inlineStr">
        <is>
          <t>Matte Self-Adhesive Laminate | Pro UV × 1</t>
        </is>
      </c>
      <c r="B31" s="18" t="n">
        <v>13</v>
      </c>
      <c r="C31" s="17" t="n"/>
      <c r="D31" s="52" t="n"/>
      <c r="E31" t="n">
        <v>25</v>
      </c>
      <c r="F31">
        <f>B31/E31</f>
        <v/>
      </c>
      <c r="G31" t="inlineStr">
        <is>
          <t xml:space="preserve">Stickiply </t>
        </is>
      </c>
    </row>
    <row r="32" ht="15" customHeight="1">
      <c r="A32" s="50" t="inlineStr">
        <is>
          <t>Printable Vinyl Sticker Paper | Clear (A4) × 1</t>
        </is>
      </c>
      <c r="B32" s="18" t="n">
        <v>8</v>
      </c>
      <c r="C32" s="17" t="inlineStr">
        <is>
          <t>R&amp;D</t>
        </is>
      </c>
      <c r="D32" s="52" t="inlineStr">
        <is>
          <t>One-off purchase of all 4 packaging candidates for side-by-side comparison. See Bin-Sticker-Shipping-Plan.md 'Testing shopping list' (~£33–35 total as pinned there — update once actually spent).</t>
        </is>
      </c>
      <c r="E32" t="n">
        <v>10</v>
      </c>
      <c r="F32">
        <f>B32/E32</f>
        <v/>
      </c>
      <c r="G32" t="inlineStr">
        <is>
          <t xml:space="preserve">Stickiply </t>
        </is>
      </c>
    </row>
    <row r="33" ht="15" customHeight="1">
      <c r="A33" s="50" t="inlineStr">
        <is>
          <t>Printable Vinyl Sticker Paper | Glossy (A4) × 1</t>
        </is>
      </c>
      <c r="B33" s="18" t="n">
        <v>5.85</v>
      </c>
      <c r="C33" s="17" t="inlineStr">
        <is>
          <t>R&amp;D</t>
        </is>
      </c>
      <c r="D33" s="52" t="inlineStr">
        <is>
          <t>2nd Class postage for the 4 test parcels in Test 6. See Bin-Sticker-Shipping-Plan.md.</t>
        </is>
      </c>
      <c r="E33" t="n">
        <v>10</v>
      </c>
      <c r="F33">
        <f>B33/E33</f>
        <v/>
      </c>
      <c r="G33" t="inlineStr">
        <is>
          <t xml:space="preserve">Stickiply </t>
        </is>
      </c>
    </row>
    <row r="34">
      <c r="A34" s="51" t="inlineStr">
        <is>
          <t>Brown Kraft Card, A4 Card 250GSM Thick Kraft Card Stock for Cards Making, Scrapbook, Office Printing and Arts or Crafts DIY (25 Sheets)</t>
        </is>
      </c>
      <c r="B34" s="18" t="n">
        <v>6</v>
      </c>
      <c r="C34" s="17" t="n"/>
      <c r="D34" s="52" t="n"/>
      <c r="E34" t="n">
        <v>25</v>
      </c>
      <c r="F34">
        <f>B34/E34</f>
        <v/>
      </c>
      <c r="G34" t="inlineStr">
        <is>
          <t>amazon</t>
        </is>
      </c>
    </row>
    <row r="35">
      <c r="A35" s="51" t="inlineStr">
        <is>
          <t>Double Dragon 50-Pack A6 C6 Manilla Hard Board Backed Envelopes | 162mm x 114mm | 'Please Do Not Bend' Printed | Padded &amp; Tamper-Proof | Self-Seal Closure</t>
        </is>
      </c>
      <c r="B35" s="18" t="n">
        <v>7.37</v>
      </c>
      <c r="C35" s="17" t="n"/>
      <c r="D35" s="52" t="n"/>
      <c r="E35" t="n">
        <v>50</v>
      </c>
      <c r="F35">
        <f>B35/E35</f>
        <v/>
      </c>
      <c r="G35" t="inlineStr">
        <is>
          <t>amazon</t>
        </is>
      </c>
    </row>
    <row r="36">
      <c r="A36" s="51" t="inlineStr">
        <is>
          <t>White Card, A4 Card 250GSM Thick Card Stock for Cards Making, Scrapbook, Office Printing and Arts or Crafts DIY (25 Sheets)</t>
        </is>
      </c>
      <c r="B36" s="18" t="n">
        <v>6</v>
      </c>
      <c r="C36" s="17" t="n"/>
      <c r="D36" s="52" t="n"/>
      <c r="E36" t="n">
        <v>25</v>
      </c>
      <c r="F36">
        <f>B36/E36</f>
        <v/>
      </c>
      <c r="G36" t="inlineStr">
        <is>
          <t>amazon</t>
        </is>
      </c>
    </row>
    <row r="37">
      <c r="A37" s="51" t="inlineStr">
        <is>
          <t>SmithPackaging A4 Self Adhesive Address Labels, 1 Label Per Sheet, 100 Sheets, 199.6 x 289.1mm, 100 Labels</t>
        </is>
      </c>
      <c r="B37" s="18" t="n">
        <v>9</v>
      </c>
      <c r="C37" s="17" t="n"/>
      <c r="D37" s="52" t="n"/>
      <c r="E37" t="n">
        <v>100</v>
      </c>
      <c r="F37">
        <f>B37/E37</f>
        <v/>
      </c>
      <c r="G37" t="inlineStr">
        <is>
          <t>amazon</t>
        </is>
      </c>
    </row>
    <row r="38">
      <c r="A38" s="51" t="inlineStr">
        <is>
          <t>40 Sheets of Acid Free Tissue Paper Cool White MG 17gsm Clothing Storage Gift Wrapping Decorative Sketch and Cutting Large Tissue Paper for Art Craft and Packing - 500mm x 750mm</t>
        </is>
      </c>
      <c r="B38" s="18" t="n">
        <v>5</v>
      </c>
      <c r="C38" s="17" t="n"/>
      <c r="D38" s="52" t="n"/>
      <c r="E38" t="n">
        <v>40</v>
      </c>
      <c r="F38">
        <f>B38/E38</f>
        <v/>
      </c>
      <c r="G38" t="inlineStr">
        <is>
          <t>amazon</t>
        </is>
      </c>
    </row>
    <row r="39">
      <c r="A39" s="51" t="inlineStr">
        <is>
          <t>Triplast White Bubble Padded Envelopes - Pick Qty &amp; Size: 10 x 1/A (100x165mm) A6 Envelopes - Large Letter Postal Bags with Bubble Wrap Lining and Peel &amp; Seal Strip for Royal Mail Shipping &amp; Postage</t>
        </is>
      </c>
      <c r="B39" s="18" t="n">
        <v>6.09</v>
      </c>
      <c r="C39" s="17" t="n"/>
      <c r="D39" s="52" t="n"/>
      <c r="E39" t="n">
        <v>10</v>
      </c>
      <c r="F39">
        <f>B39/E39</f>
        <v/>
      </c>
      <c r="G39" t="inlineStr">
        <is>
          <t>amazon</t>
        </is>
      </c>
    </row>
    <row r="40">
      <c r="A40" s="51" t="inlineStr">
        <is>
          <t>AKAR White A6/C6 Large Letter Postal Box - 112x163x20 mm - Letterbox Pip Royal Mail Small Boxes for Posting [Pack of 50]</t>
        </is>
      </c>
      <c r="B40" s="18" t="n">
        <v>10</v>
      </c>
      <c r="C40" s="17" t="n"/>
      <c r="D40" s="52" t="n"/>
      <c r="E40" t="n">
        <v>50</v>
      </c>
      <c r="F40">
        <f>B40/E40</f>
        <v/>
      </c>
      <c r="G40" t="inlineStr">
        <is>
          <t>amazon</t>
        </is>
      </c>
    </row>
    <row r="41">
      <c r="A41" t="inlineStr">
        <is>
          <t>Printable Waterproof Sticker Set – A4 (20 ct), White</t>
        </is>
      </c>
      <c r="B41" s="18" t="n">
        <v>13</v>
      </c>
      <c r="C41" s="17" t="n"/>
      <c r="D41" s="52" t="n"/>
      <c r="E41" t="n">
        <v>20</v>
      </c>
      <c r="F41">
        <f>(B41+I41)/E41</f>
        <v/>
      </c>
      <c r="G41" t="inlineStr">
        <is>
          <t>cricut</t>
        </is>
      </c>
      <c r="H41" t="inlineStr">
        <is>
          <t>Shipping</t>
        </is>
      </c>
      <c r="I41" t="n">
        <v>4</v>
      </c>
    </row>
    <row r="42">
      <c r="A42" t="inlineStr">
        <is>
          <t>Printable Waterproof Sticker Set – A4 (20 ct), Transparent</t>
        </is>
      </c>
      <c r="B42" s="18" t="n">
        <v>13</v>
      </c>
      <c r="C42" s="17" t="n"/>
      <c r="D42" s="52" t="n"/>
      <c r="E42" t="n">
        <v>20</v>
      </c>
      <c r="F42">
        <f>(B42+I42)/E42</f>
        <v/>
      </c>
      <c r="G42" t="inlineStr">
        <is>
          <t>cricut</t>
        </is>
      </c>
      <c r="H42" t="inlineStr">
        <is>
          <t>Shipping</t>
        </is>
      </c>
      <c r="I42" t="n">
        <v>4</v>
      </c>
    </row>
    <row r="43">
      <c r="A43" s="19" t="inlineStr">
        <is>
          <t>R&amp;D SUBTOTAL</t>
        </is>
      </c>
      <c r="B43" s="20">
        <f>SUM(B31:B42)</f>
        <v/>
      </c>
    </row>
    <row r="45" ht="15.6" customHeight="1">
      <c r="A45" s="21" t="inlineStr">
        <is>
          <t>TOTAL SUNK STARTUP COST (Core Equipment + R&amp;D Materials)</t>
        </is>
      </c>
      <c r="B45" s="22">
        <f>B14+B43</f>
        <v/>
      </c>
    </row>
    <row r="46">
      <c r="A46" s="52" t="inlineStr">
        <is>
          <t>Excludes Optional items (Cricut Access/Explore bundle/alt. vinyl set) — those are alternative purchase paths, not required to launch, consistent with the OPTIONAL SUBTOTAL note above. Feeds the Break-Even Calculator below.</t>
        </is>
      </c>
    </row>
    <row r="48" ht="15.6" customHeight="1">
      <c r="A48" s="23" t="inlineStr">
        <is>
          <t>BREAK-EVEN CALCULATOR</t>
        </is>
      </c>
    </row>
    <row r="49">
      <c r="A49" s="52" t="inlineStr">
        <is>
          <t>Live model — change the sale price or pull in updated figures from the other sheets and this recalculates automatically.</t>
        </is>
      </c>
    </row>
    <row r="51">
      <c r="A51" s="17" t="inlineStr">
        <is>
          <t>Sale price per pack (4 stickers) (£)</t>
        </is>
      </c>
      <c r="B51" s="18" t="n">
        <v>6</v>
      </c>
      <c r="D51" s="52" t="inlineStr">
        <is>
          <t>Matches Business Plan Section 6 default single-item eBay/site sale price (£6.00/pack). Edit if your real price differs.</t>
        </is>
      </c>
    </row>
    <row r="52">
      <c r="A52" s="17" t="inlineStr">
        <is>
          <t>Total landed cost per pack, incl. overhead (£)</t>
        </is>
      </c>
      <c r="B52" s="24">
        <f>'Bin Stickers 100x140 4pk'!B68</f>
        <v/>
      </c>
      <c r="D52" s="52" t="inlineStr">
        <is>
          <t>Pulled from the Bin Stickers sheet — materials + packaging + shipping + label + thank-you card + recurring overhead per pack.</t>
        </is>
      </c>
    </row>
    <row r="53">
      <c r="A53" s="25" t="inlineStr">
        <is>
          <t>→ Profit per pack (£)</t>
        </is>
      </c>
      <c r="B53" s="26">
        <f>B51-B52</f>
        <v/>
      </c>
    </row>
    <row r="55">
      <c r="A55" s="17" t="inlineStr">
        <is>
          <t>Total sunk startup cost (from above)</t>
        </is>
      </c>
      <c r="B55" s="27">
        <f>B45</f>
        <v/>
      </c>
    </row>
    <row r="56">
      <c r="A56" s="19" t="inlineStr">
        <is>
          <t>→ Packs needed to break even</t>
        </is>
      </c>
      <c r="B56" s="28">
        <f>IFERROR(B55/B53,"N/A")</f>
        <v/>
      </c>
    </row>
    <row r="57">
      <c r="A57" s="19" t="inlineStr">
        <is>
          <t>→ Individual stickers needed to break even</t>
        </is>
      </c>
      <c r="B57" s="28">
        <f>IFERROR(B56*'Bin Stickers 100x140 4pk'!B7,"N/A")</f>
        <v/>
      </c>
    </row>
    <row r="59">
      <c r="A59" s="52" t="inlineStr">
        <is>
          <t>If Profit per pack is zero or negative, both break-even figures show N/A — the sale price does not cover the fully-loaded cost, so this is a signal to revisit pricing before the volume figures mean anything.</t>
        </is>
      </c>
    </row>
  </sheetData>
  <mergeCells count="3">
    <mergeCell ref="A59:D59"/>
    <mergeCell ref="A46:D46"/>
    <mergeCell ref="A49:D49"/>
  </mergeCells>
  <hyperlinks>
    <hyperlink xmlns:r="http://schemas.openxmlformats.org/officeDocument/2006/relationships" ref="A34" display="https://www.amazon.co.uk/dp/B0DK3V552G?ref=ppx_yo2ov_dt_b_fed_asin_title" r:id="rId1"/>
    <hyperlink xmlns:r="http://schemas.openxmlformats.org/officeDocument/2006/relationships" ref="A35" display="https://www.amazon.co.uk/dp/B0DXY7Q984?ref=ppx_yo2ov_dt_b_fed_asin_title" r:id="rId2"/>
    <hyperlink xmlns:r="http://schemas.openxmlformats.org/officeDocument/2006/relationships" ref="A36" display="https://www.amazon.co.uk/dp/B0DJZFTP56?ref=ppx_yo2ov_dt_b_fed_asin_title" r:id="rId3"/>
    <hyperlink xmlns:r="http://schemas.openxmlformats.org/officeDocument/2006/relationships" ref="A37" display="https://www.amazon.co.uk/dp/B082WLC8BJ?ref=ppx_yo2ov_dt_b_fed_asin_title" r:id="rId4"/>
    <hyperlink xmlns:r="http://schemas.openxmlformats.org/officeDocument/2006/relationships" ref="A38" display="https://www.amazon.co.uk/dp/B0BNQW8LY3?ref=ppx_yo2ov_dt_b_fed_asin_title" r:id="rId5"/>
    <hyperlink xmlns:r="http://schemas.openxmlformats.org/officeDocument/2006/relationships" ref="A39" display="https://www.amazon.co.uk/dp/B0DFZ6585M?ref=ppx_yo2ov_dt_b_fed_asin_title" r:id="rId6"/>
    <hyperlink xmlns:r="http://schemas.openxmlformats.org/officeDocument/2006/relationships" ref="A40" display="https://www.amazon.co.uk/dp/B094454Q6P?ref=ppx_yo2ov_dt_b_fed_asin_title" r:id="rId7"/>
  </hyperlink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C71"/>
  <sheetViews>
    <sheetView topLeftCell="A60" zoomScaleNormal="100" workbookViewId="0">
      <selection activeCell="B58" sqref="B58"/>
    </sheetView>
  </sheetViews>
  <sheetFormatPr baseColWidth="8" defaultColWidth="8.6640625" defaultRowHeight="14.4"/>
  <cols>
    <col width="46" customWidth="1" min="1" max="1"/>
    <col width="16" customWidth="1" min="2" max="2"/>
    <col width="55" customWidth="1" min="3" max="3"/>
  </cols>
  <sheetData>
    <row r="1" ht="17.25" customHeight="1">
      <c r="A1" s="29" t="inlineStr">
        <is>
          <t>Bin Stickers — 100×140mm, 4-Pack (1 A4 sheet) — Cost Breakdown</t>
        </is>
      </c>
    </row>
    <row r="2" ht="14.25" customHeight="1">
      <c r="A2" s="30" t="inlineStr">
        <is>
          <t>Blue = editable input. Black = calculated. Yellow highlight = key assumption to review. Prices checked July 2026 (GBP).</t>
        </is>
      </c>
    </row>
    <row r="4" ht="14.25" customHeight="1">
      <c r="A4" s="31" t="inlineStr">
        <is>
          <t>PRODUCT SPEC</t>
        </is>
      </c>
    </row>
    <row r="5" ht="14.25" customHeight="1">
      <c r="A5" s="32" t="inlineStr">
        <is>
          <t>Item</t>
        </is>
      </c>
      <c r="B5" s="32" t="inlineStr">
        <is>
          <t>Value</t>
        </is>
      </c>
      <c r="C5" s="32" t="inlineStr">
        <is>
          <t>Notes</t>
        </is>
      </c>
    </row>
    <row r="6" ht="14.25" customHeight="1">
      <c r="A6" t="inlineStr">
        <is>
          <t>Sticker size (mm)</t>
        </is>
      </c>
      <c r="B6" s="33" t="inlineStr">
        <is>
          <t>100 x 140</t>
        </is>
      </c>
      <c r="C6" s="30" t="inlineStr">
        <is>
          <t>Reduced from 150mm to fit 4-up on a single A4 sheet with cutting margin (mathematical max for 2x2 grid is 105x148.5mm = A6; trimmed further to leave a clean guillotine-cut margin (cutting method updated July 2026 — see Business Plan Section 10; no longer uses Cricut Print Then Cut for this product)). Matches the reference listing's overall concept, just resized to fit one page. Note (Aug 2026): the landscape 140x100mm line (D01-D03) has identical area to this 100x140mm portrait sheet, so it fits 4-up on one A4 page the same way and this sheet's materials cost figures (rows 12-18) apply unchanged -- no separate cost row added for it. See Bin-Sticker-Shipping-Plan.md for the packaging question, which does differ by shape.</t>
        </is>
      </c>
    </row>
    <row r="7" ht="14.25" customHeight="1">
      <c r="A7" t="inlineStr">
        <is>
          <t>Stickers per pack</t>
        </is>
      </c>
      <c r="B7" s="33" t="n">
        <v>4</v>
      </c>
      <c r="C7" s="30" t="inlineStr">
        <is>
          <t>Standard pack size in this category</t>
        </is>
      </c>
    </row>
    <row r="8" ht="14.25" customHeight="1">
      <c r="A8" t="inlineStr">
        <is>
          <t>A4 pages needed per pack</t>
        </is>
      </c>
      <c r="B8" s="33" t="n">
        <v>1</v>
      </c>
      <c r="C8" s="30" t="inlineStr">
        <is>
          <t>Updated: at 100x140mm, all 4 stickers fit on a single A4 sheet (2x2 grid, ~8-8.5mm margin around each). No longer needs 2 sheets — this halves the materials cost per pack vs the original 150mm-tall version.</t>
        </is>
      </c>
    </row>
    <row r="10" ht="14.25" customHeight="1">
      <c r="A10" s="31" t="inlineStr">
        <is>
          <t>MATERIALS COST (per A4 page)</t>
        </is>
      </c>
    </row>
    <row r="11" ht="14.25" customHeight="1">
      <c r="A11" s="32" t="inlineStr">
        <is>
          <t>Item</t>
        </is>
      </c>
      <c r="B11" s="32" t="inlineStr">
        <is>
          <t>Cost (£)</t>
        </is>
      </c>
      <c r="C11" s="32" t="inlineStr">
        <is>
          <t>Notes</t>
        </is>
      </c>
    </row>
    <row r="12" ht="14.25" customHeight="1">
      <c r="A12" t="inlineStr">
        <is>
          <t>Vinyl (printable, per A4 sheet)</t>
        </is>
      </c>
      <c r="B12" s="34" t="n">
        <v>0.4</v>
      </c>
      <c r="C12" s="30" t="inlineStr">
        <is>
          <t>Carried over from Tier 1 vinyl pack assumption (~£10–15 / 30 sheets) | Bulk source option: Stickiply (UK) glossy vinyl A4 — ~£0.59/sheet (10-pack) down to ~£0.32/sheet (500-pack). See Equipment Guide.</t>
        </is>
      </c>
    </row>
    <row r="13" ht="14.25" customHeight="1">
      <c r="A13" t="inlineStr">
        <is>
          <t>Laminate (cold, per A4 sheet)</t>
        </is>
      </c>
      <c r="B13" s="34" t="n">
        <v>0.2</v>
      </c>
      <c r="C13" s="30" t="inlineStr">
        <is>
          <t>Carried over from Tier 1 self-adhesive laminate assumption | Bulk source option: Stickiply (UK) matte self-adhesive laminate A4 — ~£0.55/sheet (10-pack) down to ~£0.23/sheet (500-pack). See Equipment Guide.</t>
        </is>
      </c>
    </row>
    <row r="14" ht="14.25" customHeight="1">
      <c r="A14" t="inlineStr">
        <is>
          <t>Ink (colour, per A4 page)</t>
        </is>
      </c>
      <c r="B14" s="34" t="n">
        <v>0.05</v>
      </c>
      <c r="C14" s="30" t="inlineStr">
        <is>
          <t>Rough placeholder — EcoTank's own ISO-standard colour cost is under 1p/page at 5% ink coverage, but bold number/text designs use noticeably more ink than that test pattern. £0.03–0.10 is a reasonable range depending on design density; refine once you print real designs and can measure bottle depletion.</t>
        </is>
      </c>
    </row>
    <row r="15" ht="14.25" customHeight="1">
      <c r="A15" t="inlineStr">
        <is>
          <t>Subtotal: cost per A4 page (vinyl + laminate + ink)</t>
        </is>
      </c>
      <c r="B15" s="35">
        <f>SUM(B12:B14)</f>
        <v/>
      </c>
    </row>
    <row r="17" ht="14.25" customHeight="1">
      <c r="A17" t="inlineStr">
        <is>
          <t>Pages per pack (from Product Spec above)</t>
        </is>
      </c>
      <c r="B17" s="36">
        <f>B8</f>
        <v/>
      </c>
    </row>
    <row r="18" ht="14.25" customHeight="1">
      <c r="A18" t="inlineStr">
        <is>
          <t>MATERIALS COST PER PACK (4 stickers)</t>
        </is>
      </c>
      <c r="B18" s="35">
        <f>B15*B17</f>
        <v/>
      </c>
    </row>
    <row r="20" ht="14.25" customHeight="1">
      <c r="A20" s="31" t="inlineStr">
        <is>
          <t>PACKAGING OPTIONS (from Test 6 — see Bin-Sticker-Material-Test-Plan.md)</t>
        </is>
      </c>
      <c r="B20" s="37" t="n"/>
      <c r="C20" s="37" t="n"/>
    </row>
    <row r="21" ht="14.25" customHeight="1">
      <c r="A21" s="32" t="inlineStr">
        <is>
          <t>Option</t>
        </is>
      </c>
      <c r="B21" s="38" t="inlineStr">
        <is>
          <t>Cost/pack (£)</t>
        </is>
      </c>
      <c r="C21" s="32" t="inlineStr">
        <is>
          <t>Notes</t>
        </is>
      </c>
    </row>
    <row r="22" ht="54.75" customHeight="1">
      <c r="A22" s="37" t="inlineStr">
        <is>
          <t>Kraft envelope + tissue (flat wrap)</t>
        </is>
      </c>
      <c r="B22" s="34" t="n">
        <v>0.08</v>
      </c>
      <c r="C22" s="39" t="inlineStr">
        <is>
          <t>Cheapest, lowest transit protection — sheet can flex/crease in a stuffed mailbag. Materials: C6 kraft envelope (~£6-7/50, Amazon UK) + tissue offcut. Packed thickness &lt;1mm — qualifies for Royal Mail Letter rate, not just Large Letter. Matches what most Etsy bin-sticker/decal sellers use as default (see Competitor Research).</t>
        </is>
      </c>
    </row>
    <row r="23" ht="41.25" customHeight="1">
      <c r="A23" s="37" t="inlineStr">
        <is>
          <t>Kraft envelope + rigid backing card (no padding)</t>
        </is>
      </c>
      <c r="B23" s="34" t="n">
        <v>0.09</v>
      </c>
      <c r="C23" s="39" t="inlineStr">
        <is>
          <t>Same envelope as above, tissue swapped for a rigid cardstock backing card (made in-house from offcuts, near-zero marginal cost per Business Plan Section 7). Resists bending/creasing without adding real thickness (~0.5mm) — the one candidate that might combine Letter-rate postage with better-than-plain-wrap protection. No cushioning against knocks/crushing, unlike a padded mailer or box.</t>
        </is>
      </c>
    </row>
    <row r="24" ht="54.75" customHeight="1">
      <c r="A24" s="37" t="inlineStr">
        <is>
          <t>Padded mailer (Mail Lite A/000, 110×160mm)</t>
        </is>
      </c>
      <c r="B24" s="34" t="n">
        <v>0.12</v>
      </c>
      <c r="C24" s="39" t="inlineStr">
        <is>
          <t>Cushions knocks in transit, stays flat and cheap to post. ~£11.66/100 (~5g each), confirmed by supplier as Royal Mail Large Letter sized. Packed thickness ~5-10mm — the padding itself rules out the Letter rate; no genuinely thin padded/bubble mailer exists that fits under 5mm.</t>
        </is>
      </c>
    </row>
    <row r="25" ht="14.25" customHeight="1">
      <c r="A25" s="37" t="inlineStr">
        <is>
          <t>C6 box (163×112×20mm, rigid)</t>
        </is>
      </c>
      <c r="B25" s="34" t="n">
        <v>0.14</v>
      </c>
      <c r="C25" s="39" t="inlineStr">
        <is>
          <t>Best transit protection and strongest 'unboxing' presentation — matches the gift-feel packaging described in Business Plan Section 7. £6.54-6.89/50 (Forms Plus). 20mm depth stays under the 25mm Royal Mail Large Letter thickness limit, but is well over the 5mm Letter limit.</t>
        </is>
      </c>
    </row>
    <row r="26" ht="54.75" customHeight="1">
      <c r="A26" s="37" t="n"/>
      <c r="B26" s="37" t="n"/>
      <c r="C26" s="37" t="n"/>
    </row>
    <row r="27" ht="14.25" customHeight="1">
      <c r="A27" s="37" t="inlineStr">
        <is>
          <t>Selected packaging option (pending Test 6 results)</t>
        </is>
      </c>
      <c r="B27" s="34" t="inlineStr">
        <is>
          <t>Kraft envelope + tissue (flat wrap)</t>
        </is>
      </c>
      <c r="C27" s="39" t="inlineStr">
        <is>
          <t>Placeholder default = cheapest option. Update this cell once the post-to-self + drop/flex test (Test 6) results are in — swap in whichever text exactly matches one of the four option labels above (A22:A25).</t>
        </is>
      </c>
    </row>
    <row r="28">
      <c r="A28" s="53" t="inlineStr">
        <is>
          <t>→ Packaging cost per pack (pulled from selection above)</t>
        </is>
      </c>
      <c r="B28" s="40">
        <f>INDEX(B22:B25,MATCH(B27,A22:A25,0))</f>
        <v/>
      </c>
      <c r="C28" s="37" t="n"/>
    </row>
    <row r="29" ht="14.25" customHeight="1">
      <c r="A29" s="37" t="n"/>
      <c r="B29" s="41" t="n"/>
      <c r="C29" s="37" t="n"/>
    </row>
    <row r="30" ht="14.25" customHeight="1">
      <c r="A30" s="53" t="inlineStr">
        <is>
          <t>TOTAL COST PER PACK (materials + packaging, excl. shipping)</t>
        </is>
      </c>
      <c r="B30" s="40">
        <f>B18+B28</f>
        <v/>
      </c>
      <c r="C30" s="37" t="n"/>
    </row>
    <row r="31">
      <c r="A31" s="37" t="inlineStr">
        <is>
          <t>Cost per individual sticker (excl. shipping)</t>
        </is>
      </c>
      <c r="B31" s="42">
        <f>B30/B7</f>
        <v/>
      </c>
      <c r="C31" s="37" t="n"/>
    </row>
    <row r="32" ht="14.25" customHeight="1">
      <c r="A32" t="inlineStr">
        <is>
          <t>THANK-YOU CARD (per pack — 1 card included per order; see Business Plan Section 7 &amp; chat history for card design)</t>
        </is>
      </c>
    </row>
    <row r="33" ht="14.25" customHeight="1">
      <c r="A33" t="inlineStr">
        <is>
          <t>Item</t>
        </is>
      </c>
      <c r="B33" t="inlineStr">
        <is>
          <t>Cost (£)</t>
        </is>
      </c>
      <c r="C33" t="inlineStr">
        <is>
          <t>Notes</t>
        </is>
      </c>
    </row>
    <row r="34" ht="54.75" customHeight="1">
      <c r="A34" t="inlineStr">
        <is>
          <t>Cardstock (per card — 1/4 of an A4 250gsm sheet, white or kraft)</t>
        </is>
      </c>
      <c r="B34" t="n">
        <v>0.02</v>
      </c>
      <c r="C34" t="inlineStr">
        <is>
          <t>A4 250gsm cardstock ~£0.08/sheet ÷ 4 cards (A6 size, exactly 1/4 of A4, cut with the guillotine) = £0.02/card. Kraft cardstock runs higher (~£0.15-0.30/sheet ÷ 4 ≈ £0.04-0.08/card) — this figure uses the white/cream cardstock estimate; edit this cell if you settle on kraft instead.</t>
        </is>
      </c>
    </row>
    <row r="35" ht="27.75" customHeight="1">
      <c r="A35" t="inlineStr">
        <is>
          <t>Ink (light coverage — flower motif + text, much lighter than a full sticker print)</t>
        </is>
      </c>
      <c r="B35" t="n">
        <v>0.01</v>
      </c>
      <c r="C35" t="inlineStr">
        <is>
          <t>Printed via the same Epson EcoTank printer/ink used for stickers — light line-art + text coverage, well under the ~£0.05/page ink assumption used for the dense sticker designs above (row 14).</t>
        </is>
      </c>
    </row>
    <row r="36" ht="27.75" customHeight="1">
      <c r="A36" t="inlineStr">
        <is>
          <t>Subtotal: thank-you card cost per pack</t>
        </is>
      </c>
      <c r="B36">
        <f>SUM(B34:B35)</f>
        <v/>
      </c>
    </row>
    <row r="37" ht="27.75" customHeight="1">
      <c r="A37" s="53" t="inlineStr">
        <is>
          <t>Total</t>
        </is>
      </c>
      <c r="B37" s="40">
        <f>B36+B30</f>
        <v/>
      </c>
      <c r="C37" s="37" t="n"/>
    </row>
    <row r="38" ht="28.5" customHeight="1">
      <c r="A38" s="31" t="inlineStr">
        <is>
          <t>SHIPPING — Royal Mail estimated prices (checked July 2026)</t>
        </is>
      </c>
      <c r="B38" s="37" t="n"/>
      <c r="C38" s="37" t="n"/>
    </row>
    <row r="39" ht="27.75" customHeight="1">
      <c r="A39" s="32" t="inlineStr">
        <is>
          <t>Service</t>
        </is>
      </c>
      <c r="B39" s="38" t="inlineStr">
        <is>
          <t>Price (£)</t>
        </is>
      </c>
      <c r="C39" s="32" t="inlineStr">
        <is>
          <t>Notes</t>
        </is>
      </c>
    </row>
    <row r="40" ht="14.25" customHeight="1">
      <c r="A40" s="37" t="inlineStr">
        <is>
          <t>2nd Class Standard (untracked) — Letter, up to 100g</t>
        </is>
      </c>
      <c r="B40" s="34" t="n">
        <v>0.88</v>
      </c>
      <c r="C40" s="39" t="inlineStr">
        <is>
          <t>Sources show ~85-91p for the current rate — confirm the exact figure in Click &amp; Drop at checkout; £0.88 used here as a midpoint placeholder. Only available if the packed item is under 240x165x5mm and 100g — realistically only the flat-wrap and backing-card packaging options qualify (see Packaging Options above).</t>
        </is>
      </c>
    </row>
    <row r="41" ht="14.25" customHeight="1">
      <c r="A41" s="37" t="inlineStr">
        <is>
          <t>2nd Class Standard (untracked) — Large Letter, up to 100g</t>
        </is>
      </c>
      <c r="B41" s="34" t="n">
        <v>1.55</v>
      </c>
      <c r="C41" s="39" t="inlineStr">
        <is>
          <t>Default/standard tier per Business Plan Section 8 — typically absorbed into item price, not charged separately at checkout. The only option available for the padded mailer and box candidates, since their thickness rules out the Letter rate.</t>
        </is>
      </c>
    </row>
    <row r="42" ht="14.25" customHeight="1">
      <c r="A42" s="37" t="inlineStr">
        <is>
          <t>2nd Class (untracked) — Large Letter, up to 250g</t>
        </is>
      </c>
      <c r="B42" s="34" t="n">
        <v>1.9</v>
      </c>
      <c r="C42" s="39" t="inlineStr">
        <is>
          <t>Applies if the packed 4-pack + packaging crosses the 100g threshold — confirm on a kitchen scale.</t>
        </is>
      </c>
    </row>
    <row r="43" ht="14.25" customHeight="1">
      <c r="A43" s="37" t="inlineStr">
        <is>
          <t>Tracked 48 — Large Letter</t>
        </is>
      </c>
      <c r="B43" s="34" t="n">
        <v>2.75</v>
      </c>
      <c r="C43" s="39" t="inlineStr">
        <is>
          <t>Optional paid upgrade (+£1.50-2.00 over standard per Business Plan Section 8).</t>
        </is>
      </c>
    </row>
    <row r="44" ht="54.75" customHeight="1">
      <c r="A44" s="37" t="inlineStr">
        <is>
          <t>Tracked 24 — Large Letter</t>
        </is>
      </c>
      <c r="B44" s="34" t="n">
        <v>3.65</v>
      </c>
      <c r="C44" s="39" t="inlineStr">
        <is>
          <t>Optional paid upgrade (+£3.00). 'Aims for' next working day — not a guarantee.</t>
        </is>
      </c>
    </row>
    <row r="45" ht="45" customHeight="1">
      <c r="A45" s="37" t="inlineStr">
        <is>
          <t>Special Delivery Guaranteed by 1pm</t>
        </is>
      </c>
      <c r="B45" s="34" t="n">
        <v>8.75</v>
      </c>
      <c r="C45" s="39" t="inlineStr">
        <is>
          <t>For bundled/high-value orders (£20+) only, per Business Plan Section 8 — not the standard single-pack tier.</t>
        </is>
      </c>
    </row>
    <row r="46" ht="14.25" customHeight="1">
      <c r="A46" s="37" t="n"/>
      <c r="B46" s="37" t="n"/>
      <c r="C46" s="37" t="n"/>
    </row>
    <row r="47" ht="81.75" customHeight="1">
      <c r="A47" s="37" t="inlineStr">
        <is>
          <t>Selected shipping tier (for landed cost below)</t>
        </is>
      </c>
      <c r="B47" s="34" t="inlineStr">
        <is>
          <t>2nd Class Standard (untracked) — Large Letter, up to 100g</t>
        </is>
      </c>
      <c r="C47" s="39" t="inlineStr">
        <is>
          <t>Must exactly match one of the six service labels above (A35:A40). Switch to the Letter-rate row once Test 6 confirms your chosen packaging measures under 5mm/100g.</t>
        </is>
      </c>
    </row>
    <row r="48" ht="14.25" customHeight="1">
      <c r="A48" s="53" t="inlineStr">
        <is>
          <t>→ Shipping cost per pack (pulled from selection above)</t>
        </is>
      </c>
      <c r="B48" s="40">
        <f>INDEX(B40:B45,MATCH(B47,A40:A45,0))</f>
        <v/>
      </c>
      <c r="C48" s="37" t="n"/>
    </row>
    <row r="49">
      <c r="A49" s="37" t="n"/>
      <c r="B49" s="41" t="n"/>
      <c r="C49" s="37" t="n"/>
    </row>
    <row r="50" ht="14.25" customHeight="1">
      <c r="A50" s="31" t="inlineStr">
        <is>
          <t>SHIPPING LABEL — address sticker (Click &amp; Drop)</t>
        </is>
      </c>
      <c r="B50" s="37" t="n"/>
      <c r="C50" s="37" t="n"/>
    </row>
    <row r="51" ht="14.25" customHeight="1">
      <c r="A51" s="32" t="inlineStr">
        <is>
          <t>Item</t>
        </is>
      </c>
      <c r="B51" s="38" t="inlineStr">
        <is>
          <t>Value</t>
        </is>
      </c>
      <c r="C51" s="32" t="inlineStr">
        <is>
          <t>Notes</t>
        </is>
      </c>
    </row>
    <row r="52" ht="57" customHeight="1">
      <c r="A52" s="37" t="inlineStr">
        <is>
          <t>A4 sticker label sheet pack — price (£)</t>
        </is>
      </c>
      <c r="B52" s="34" t="n">
        <v>15.89</v>
      </c>
      <c r="C52" s="39" t="inlineStr">
        <is>
          <t>Avery J8160 QuickDRY, 63.5x38.1mm, 21 labels/sheet, 25-sheet pack — avery.co.uk, checked July 2026. Cheaper own-brand packs (~£7-10/25 sheets) exist too; swap this in if you go that route.</t>
        </is>
      </c>
    </row>
    <row r="53" ht="54.75" customHeight="1">
      <c r="A53" s="37" t="inlineStr">
        <is>
          <t>Sheets per pack</t>
        </is>
      </c>
      <c r="B53" s="34" t="n">
        <v>25</v>
      </c>
      <c r="C53" s="37" t="n"/>
    </row>
    <row r="54">
      <c r="A54" s="53" t="inlineStr">
        <is>
          <t>→ Price per A4 sheet</t>
        </is>
      </c>
      <c r="B54" s="40">
        <f>B52/B53</f>
        <v/>
      </c>
      <c r="C54" s="37" t="n"/>
    </row>
    <row r="55" ht="114.75" customHeight="1">
      <c r="A55" s="37" t="inlineStr">
        <is>
          <t>Labels printed per sheet (batch assumption)</t>
        </is>
      </c>
      <c r="B55" s="34" t="n">
        <v>3</v>
      </c>
      <c r="C55" s="39" t="inlineStr">
        <is>
          <t>Assumes you batch 3 shipments' worth of labels onto one sheet before cutting (Click &amp; Drop '3+ per A4' style batching), rather than 1 label per sheet. Sheet has 21 slots total - this treats the other 18 as unused/wasted per batch, which is the conservative per-shipment cost. Increase this number if you routinely batch more orders together. Cheaper default at low volume: plain A4 paper + tape/glue stick (~1-2p/shipment), officially supported by Royal Mail.</t>
        </is>
      </c>
    </row>
    <row r="56" ht="60" customHeight="1">
      <c r="A56" s="53" t="inlineStr">
        <is>
          <t>→ Cost per address label (sheet price ÷ labels used)</t>
        </is>
      </c>
    </row>
    <row r="57">
      <c r="A57" s="37" t="n"/>
      <c r="B57" s="37" t="n"/>
      <c r="C57" s="37" t="n"/>
    </row>
    <row r="58">
      <c r="A58" s="53" t="inlineStr">
        <is>
          <t>TOTAL LANDED COST PER PACK (materials + packaging + shipping + label + thank-you card)</t>
        </is>
      </c>
      <c r="B58" s="40">
        <f>B30+B48+B56+B36</f>
        <v/>
      </c>
      <c r="C58" s="37" t="n"/>
    </row>
    <row r="59">
      <c r="A59" s="37" t="inlineStr">
        <is>
          <t>Cost per individual sticker (all-in incl. shipping + label)</t>
        </is>
      </c>
      <c r="B59" s="42">
        <f>B58/B7</f>
        <v/>
      </c>
      <c r="C59" s="37" t="n"/>
    </row>
    <row r="60">
      <c r="A60" s="37" t="n"/>
      <c r="B60" s="37" t="n"/>
      <c r="C60" s="37" t="n"/>
    </row>
    <row r="61" ht="186.75" customHeight="1">
      <c r="A61" s="39" t="inlineStr">
        <is>
          <t>Shipping (postage) is typically absorbed into the item's list price rather than charged separately at checkout (standard/free-shipping is the competitor norm - see Business Plan Section 8), so the TOTAL LANDED COST row above represents your true all-in cost basis for pricing decisions, not necessarily a line the customer sees itemised. Change 'Selected packaging option' (B27) or 'Selected shipping tier' (B47) to re-model - e.g. once Test 6 confirms the backing-card option stays under 5mm/100g, switch B47 to the Letter-rate row for the biggest cost saving. The thank-you card subtotal (B36) is a fixed per-pack cost regardless of packaging/shipping choice.</t>
        </is>
      </c>
    </row>
    <row r="63">
      <c r="A63" s="31" t="inlineStr">
        <is>
          <t>RECURRING OVERHEAD PER UNIT (from 'Recurring Overhead' sheet)</t>
        </is>
      </c>
    </row>
    <row r="64">
      <c r="A64" s="32" t="inlineStr">
        <is>
          <t>Item</t>
        </is>
      </c>
      <c r="B64" s="32" t="inlineStr">
        <is>
          <t>Value</t>
        </is>
      </c>
      <c r="C64" s="32" t="inlineStr">
        <is>
          <t>Notes</t>
        </is>
      </c>
    </row>
    <row r="65">
      <c r="A65" s="37" t="inlineStr">
        <is>
          <t>Overhead cost per sticker (£)</t>
        </is>
      </c>
      <c r="B65" s="43">
        <f>'Recurring Overhead'!B32</f>
        <v/>
      </c>
      <c r="C65" s="54" t="inlineStr">
        <is>
          <t>Live link to the Recurring Overhead sheet's ACTIVE SCENARIO figure (subscriptions ÷ chosen scenario's monthly volume). Defaults to the Conservative scenario — change the dropdown on that sheet to switch which scenario feeds this and the Break-Even Calculator.</t>
        </is>
      </c>
    </row>
    <row r="66">
      <c r="A66" s="37" t="inlineStr">
        <is>
          <t>Overhead cost per pack (4 stickers) (£)</t>
        </is>
      </c>
      <c r="B66" s="41">
        <f>B65*B7</f>
        <v/>
      </c>
    </row>
    <row r="68">
      <c r="A68" s="53" t="inlineStr">
        <is>
          <t>TOTAL LANDED COST PER PACK, INCL. OVERHEAD (£)</t>
        </is>
      </c>
      <c r="B68" s="40">
        <f>B58+B66</f>
        <v/>
      </c>
    </row>
    <row r="69">
      <c r="A69" s="37" t="inlineStr">
        <is>
          <t>Cost per individual sticker, incl. overhead (£)</t>
        </is>
      </c>
      <c r="B69" s="42">
        <f>B68/B7</f>
        <v/>
      </c>
    </row>
    <row r="71">
      <c r="A71" s="54" t="inlineStr">
        <is>
          <t>This is now the true floor price to plan pricing around — B58/B59 above (unchanged, still used elsewhere) exclude recurring overhead entirely. The Break-Even Calculator on the Tier 1 Equipment Costs sheet pulls from B68 on this row, not from B58.</t>
        </is>
      </c>
    </row>
  </sheetData>
  <mergeCells count="2">
    <mergeCell ref="A56:C56"/>
    <mergeCell ref="A71:C7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D32"/>
  <sheetViews>
    <sheetView tabSelected="1" topLeftCell="A12" zoomScaleNormal="100" workbookViewId="0">
      <selection activeCell="D22" sqref="D22"/>
    </sheetView>
  </sheetViews>
  <sheetFormatPr baseColWidth="8" defaultColWidth="8.6640625" defaultRowHeight="14.4"/>
  <cols>
    <col width="46" customWidth="1" min="1" max="1"/>
    <col width="18" customWidth="1" min="2" max="2"/>
    <col width="30" customWidth="1" min="3" max="3"/>
    <col width="55" customWidth="1" min="4" max="4"/>
  </cols>
  <sheetData>
    <row r="1" ht="17.4" customHeight="1">
      <c r="A1" s="4" t="inlineStr">
        <is>
          <t>Recurring Overhead — Subscriptions &amp; Monthly Costs</t>
        </is>
      </c>
    </row>
    <row r="2">
      <c r="A2" s="52" t="inlineStr">
        <is>
          <t>Blue = editable input. Black = calculated. Yellow = key assumption to review. Placeholder £0 values below — fill in once tools are actually chosen (design software/font licences, bookkeeping software — per chat, both are expected to be paid). Standing preference: search current UK pricing before finalising any of these, don't rely on training data.</t>
        </is>
      </c>
    </row>
    <row r="4">
      <c r="A4" s="12" t="inlineStr">
        <is>
          <t>MONTHLY SUBSCRIPTIONS</t>
        </is>
      </c>
    </row>
    <row r="5">
      <c r="A5" s="16" t="inlineStr">
        <is>
          <t>Item</t>
        </is>
      </c>
      <c r="B5" s="16" t="inlineStr">
        <is>
          <t>Cost (£/month)</t>
        </is>
      </c>
      <c r="C5" s="16" t="inlineStr">
        <is>
          <t>Category</t>
        </is>
      </c>
      <c r="D5" s="16" t="inlineStr">
        <is>
          <t>Notes</t>
        </is>
      </c>
    </row>
    <row r="6" ht="16.8" customHeight="1">
      <c r="A6" s="55" t="inlineStr">
        <is>
          <t xml:space="preserve">Midjourney </t>
        </is>
      </c>
      <c r="B6" s="18" t="n">
        <v>8.9</v>
      </c>
      <c r="C6" s="17" t="inlineStr">
        <is>
          <t>Design</t>
        </is>
      </c>
      <c r="D6" s="52" t="inlineStr">
        <is>
          <t>Placeholder — not yet chosen (per chat, July 2026). Separate from Midjourney, already costed per-design-set in the Business Plan; add it here too if it becomes an ongoing monthly subscription.</t>
        </is>
      </c>
    </row>
    <row r="7">
      <c r="A7" s="56" t="inlineStr">
        <is>
          <t>lovart</t>
        </is>
      </c>
      <c r="B7" s="18" t="n">
        <v>14.09</v>
      </c>
      <c r="C7" s="17" t="inlineStr">
        <is>
          <t>Design</t>
        </is>
      </c>
      <c r="D7" s="52" t="inlineStr">
        <is>
          <t>Placeholder — for any paid/commercial-use fonts beyond free/open-license options.</t>
        </is>
      </c>
    </row>
    <row r="8">
      <c r="A8" s="17" t="inlineStr">
        <is>
          <t>Bookkeeping / accounting software</t>
        </is>
      </c>
      <c r="B8" s="18" t="n">
        <v>30</v>
      </c>
      <c r="C8" s="17" t="inlineStr">
        <is>
          <t>Admin</t>
        </is>
      </c>
      <c r="D8" s="52" t="inlineStr">
        <is>
          <t>Placeholder — decided to use paid software (per chat), specific tool not yet chosen.</t>
        </is>
      </c>
    </row>
    <row r="9">
      <c r="A9" s="17" t="inlineStr">
        <is>
          <t>Other subscription (e.g. seller tools, cloud storage)</t>
        </is>
      </c>
      <c r="B9" s="18" t="n">
        <v>0</v>
      </c>
      <c r="C9" s="17" t="inlineStr">
        <is>
          <t>Admin</t>
        </is>
      </c>
      <c r="D9" s="52" t="inlineStr">
        <is>
          <t>Add any other recurring monthly tool here — extend this list with more rows as needed, keep them inside the SUM range below.</t>
        </is>
      </c>
    </row>
    <row r="10">
      <c r="A10" s="19" t="inlineStr">
        <is>
          <t>MONTHLY OVERHEAD SUBTOTAL</t>
        </is>
      </c>
      <c r="B10" s="20">
        <f>SUM(B6:B9)</f>
        <v/>
      </c>
    </row>
    <row r="12">
      <c r="A12" s="12" t="inlineStr">
        <is>
          <t>MONTHLY VOLUME SCENARIOS (pre-launch — no sales history yet)</t>
        </is>
      </c>
    </row>
    <row r="13">
      <c r="A13" s="52" t="inlineStr">
        <is>
          <t>No orders yet, so these are three structured estimates rather than one guess: a comparable/benchmark figure, a target anchored to your own break-even goal, and a production-capacity ceiling — a bottom-up/top-down/proxy approach commonly recommended for pre-launch forecasting (source: Glencoyne, 'Sales Forecasting Without Historical Data', 2025). Comparable figures below from salesdoe.com's analysis of 797 Etsy shops (2025), Etsy Community Forum seller reports, and TechPenny 'When To Expect First Sale On Etsy' (2023) — accessed July 2026.</t>
        </is>
      </c>
    </row>
    <row r="15">
      <c r="A15" s="16" t="inlineStr">
        <is>
          <t>Scenario</t>
        </is>
      </c>
      <c r="B15" s="16" t="inlineStr">
        <is>
          <t>Monthly Volume (stickers)</t>
        </is>
      </c>
      <c r="C15" s="16" t="inlineStr">
        <is>
          <t>Basis</t>
        </is>
      </c>
      <c r="D15" s="16" t="inlineStr">
        <is>
          <t>Notes / Source</t>
        </is>
      </c>
    </row>
    <row r="16">
      <c r="A16" s="17" t="inlineStr">
        <is>
          <t>Conservative</t>
        </is>
      </c>
      <c r="B16" s="44" t="n">
        <v>10</v>
      </c>
      <c r="C16" s="17" t="inlineStr">
        <is>
          <t>New-shop comparable benchmark</t>
        </is>
      </c>
      <c r="D16" s="52" t="inlineStr">
        <is>
          <t>Seller community reports commonly cite roughly 3–10 sales in a new shop's first month; a study of 797 Etsy shops found ~16 sales/month typical for a 'middling' shop after a full year. 10/month is a placeholder mid-point — edit if you have a firmer view.</t>
        </is>
      </c>
    </row>
    <row r="17">
      <c r="A17" s="17" t="inlineStr">
        <is>
          <t>Base / Target</t>
        </is>
      </c>
      <c r="B17" s="44" t="n">
        <v>40</v>
      </c>
      <c r="C17" s="17" t="inlineStr">
        <is>
          <t>Anchored to your own break-even goal</t>
        </is>
      </c>
      <c r="D17" s="52" t="inlineStr">
        <is>
          <t>Business Plan Section 9 break-even range is 145–360 total sales (bundled vs single-item); Section 12 Phase 1 targets hitting that within 3–6 months — implies roughly 24–60 sales/month. 40/month is the placeholder mid-point; edit to your actual target. Deliberately a manual figure, not pulled live from the Break-Even Calculator, to avoid a circular reference (that calculator itself depends on the overhead figure this scenario feeds).</t>
        </is>
      </c>
    </row>
    <row r="18">
      <c r="A18" s="17" t="inlineStr">
        <is>
          <t>Optimistic / Capacity ceiling</t>
        </is>
      </c>
      <c r="B18" s="45">
        <f>B20</f>
        <v/>
      </c>
      <c r="C18" s="17" t="inlineStr">
        <is>
          <t>Production capacity, not demand</t>
        </is>
      </c>
      <c r="D18" s="52" t="inlineStr">
        <is>
          <t>What you COULD produce, not necessarily what you will sell — see the capacity calculation just below. Treat as an upper bound, not a forecast.</t>
        </is>
      </c>
    </row>
    <row r="20">
      <c r="A20" s="17" t="inlineStr">
        <is>
          <t>Hours/week available for production (your input)</t>
        </is>
      </c>
      <c r="B20" s="46" t="n">
        <v>1</v>
      </c>
      <c r="D20" s="52" t="inlineStr">
        <is>
          <t>Not yet known — set this to see your realistic capacity ceiling. Left at 0 as a placeholder.</t>
        </is>
      </c>
    </row>
    <row r="21">
      <c r="A21" s="17" t="inlineStr">
        <is>
          <t>→ Capacity-based monthly volume (stickers)</t>
        </is>
      </c>
      <c r="B21" s="45">
        <f>IFERROR(B20*4.33/(45/60)*20,0)</f>
        <v/>
      </c>
      <c r="D21" s="52" t="inlineStr">
        <is>
          <t>Hours/week × 4.33 weeks/month ÷ (45 min ÷ 60) × 20 stickers/batch, using the faster end of the 45–70 min/20-sticker batch estimate in Business Plan Section 10 (production workflow) — the manual trim/round/nick cutting steps for bin stickers haven’t been timed at real volume yet, so treat this as optimistic.</t>
        </is>
      </c>
    </row>
    <row r="23">
      <c r="A23" s="12" t="inlineStr">
        <is>
          <t>OVERHEAD COST PER STICKER BY SCENARIO</t>
        </is>
      </c>
    </row>
    <row r="24">
      <c r="A24" s="16" t="inlineStr">
        <is>
          <t>Scenario</t>
        </is>
      </c>
      <c r="B24" s="16" t="inlineStr">
        <is>
          <t>Overhead Cost / Sticker (£)</t>
        </is>
      </c>
    </row>
    <row r="25">
      <c r="A25" s="17" t="inlineStr">
        <is>
          <t>Conservative</t>
        </is>
      </c>
      <c r="B25" s="27">
        <f>IFERROR($B$10/B16,0)</f>
        <v/>
      </c>
    </row>
    <row r="26">
      <c r="A26" s="17" t="inlineStr">
        <is>
          <t>Base / Target</t>
        </is>
      </c>
      <c r="B26" s="27">
        <f>IFERROR($B$10/B17,0)</f>
        <v/>
      </c>
    </row>
    <row r="27">
      <c r="A27" s="17" t="inlineStr">
        <is>
          <t>Optimistic / Capacity ceiling</t>
        </is>
      </c>
      <c r="B27" s="27">
        <f>IFERROR($B$10/B18,0)</f>
        <v/>
      </c>
    </row>
    <row r="29">
      <c r="A29" s="12" t="inlineStr">
        <is>
          <t>ACTIVE SCENARIO (used in Bin Stickers sheet &amp; Break-Even Calculator)</t>
        </is>
      </c>
    </row>
    <row r="30">
      <c r="A30" s="17" t="inlineStr">
        <is>
          <t>Active scenario</t>
        </is>
      </c>
      <c r="B30" s="47" t="inlineStr">
        <is>
          <t>Conservative</t>
        </is>
      </c>
      <c r="D30" s="52" t="inlineStr">
        <is>
          <t>Dropdown — pick Conservative, Base / Target, or Optimistic / Capacity ceiling. Defaults to Conservative: pricing against the low estimate means you stay covered even if early volume is slow; switch it once you have a few months of real data.</t>
        </is>
      </c>
    </row>
    <row r="31">
      <c r="A31" s="17" t="inlineStr">
        <is>
          <t>→ Active monthly volume (stickers)</t>
        </is>
      </c>
      <c r="B31" s="45">
        <f>INDEX(B16:B18,MATCH(B30,A16:A18,0))</f>
        <v/>
      </c>
    </row>
    <row r="32">
      <c r="A32" s="19" t="inlineStr">
        <is>
          <t>→ Active overhead cost per sticker (£)</t>
        </is>
      </c>
      <c r="B32" s="20">
        <f>IFERROR($B$10/B31,0)</f>
        <v/>
      </c>
    </row>
  </sheetData>
  <mergeCells count="2">
    <mergeCell ref="A13:D13"/>
    <mergeCell ref="A2:D2"/>
  </mergeCells>
  <dataValidations count="1">
    <dataValidation sqref="B30" showDropDown="0" showInputMessage="0" showErrorMessage="0" allowBlank="0" type="list">
      <formula1>"Conservative,Base / Target,Optimistic / Capacity ceiling"</formula1>
      <formula2>0</formula2>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2026-07-22T19:17:07Z</dcterms:created>
  <dcterms:modified xmlns:dcterms="http://purl.org/dc/terms/" xmlns:xsi="http://www.w3.org/2001/XMLSchema-instance" xsi:type="dcterms:W3CDTF">2026-08-02T04:37:14Z</dcterms:modified>
  <cp:lastModifiedBy>Liron Stroh</cp:lastModifiedBy>
  <cp:revision>0</cp:revision>
</cp:coreProperties>
</file>