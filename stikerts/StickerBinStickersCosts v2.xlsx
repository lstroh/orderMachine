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CE677F76-7DB4-49C2-B0B1-219A067453E6}" xr6:coauthVersionLast="47" xr6:coauthVersionMax="47" xr10:uidLastSave="{00000000-0000-0000-0000-000000000000}"/>
  <bookViews>
    <workbookView xWindow="-108" yWindow="-108" windowWidth="23256" windowHeight="12456" tabRatio="500" xr2:uid="{00000000-000D-0000-FFFF-FFFF00000000}"/>
  </bookViews>
  <sheets>
    <sheet name="Tier 1 Equipment Costs" sheetId="1" r:id="rId1"/>
    <sheet name="Bin Stickers 100x140 4pk" sheetId="2" r:id="rId2"/>
    <sheet name="Recurring Overhead" sheetId="3" r:id="rId3"/>
    <sheet name="cost per item" sheetId="4" r:id="rId4"/>
    <sheet name="Ebay costs" sheetId="5" r:id="rId5"/>
    <sheet name="Etsy" sheetId="6" r:id="rId6"/>
    <sheet name="Amazon"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5" l="1"/>
  <c r="D13" i="5"/>
  <c r="D12" i="5"/>
  <c r="D15" i="5" s="1"/>
  <c r="D16" i="5" s="1"/>
  <c r="C16" i="5"/>
  <c r="C15" i="5"/>
  <c r="C14" i="5"/>
  <c r="C13" i="5"/>
  <c r="C12" i="5"/>
  <c r="E58" i="2"/>
  <c r="D58" i="2"/>
  <c r="M5" i="4"/>
  <c r="M6" i="4"/>
  <c r="M7" i="4"/>
  <c r="M8" i="4"/>
  <c r="M9" i="4"/>
  <c r="M10" i="4"/>
  <c r="M11" i="4"/>
  <c r="M12" i="4"/>
  <c r="M4" i="4"/>
  <c r="B56" i="2"/>
  <c r="L11" i="4"/>
  <c r="L12" i="4"/>
  <c r="K12" i="4"/>
  <c r="K11" i="4"/>
  <c r="L6" i="4"/>
  <c r="L7" i="4"/>
  <c r="K7" i="4"/>
  <c r="K6" i="4"/>
  <c r="L4" i="4"/>
  <c r="L5" i="4"/>
  <c r="L8" i="4"/>
  <c r="L9" i="4"/>
  <c r="L10" i="4"/>
  <c r="L13" i="4"/>
  <c r="L3" i="4"/>
  <c r="K15" i="4"/>
  <c r="L15" i="4" s="1"/>
  <c r="K14" i="4"/>
  <c r="L14" i="4" s="1"/>
  <c r="K13" i="4"/>
  <c r="K10" i="4"/>
  <c r="K9" i="4"/>
  <c r="K8" i="4"/>
  <c r="K5" i="4"/>
  <c r="K4" i="4"/>
  <c r="K3" i="4"/>
  <c r="E4" i="4"/>
  <c r="E5" i="4"/>
  <c r="E6" i="4"/>
  <c r="E7" i="4"/>
  <c r="E8" i="4"/>
  <c r="E9" i="4"/>
  <c r="E10" i="4"/>
  <c r="E11" i="4"/>
  <c r="E12" i="4"/>
  <c r="E13" i="4"/>
  <c r="E14" i="4"/>
  <c r="E15" i="4"/>
  <c r="E16" i="4"/>
  <c r="E17" i="4"/>
  <c r="E18" i="4"/>
  <c r="E20" i="4"/>
  <c r="E21" i="4"/>
  <c r="E22" i="4"/>
  <c r="E3" i="4"/>
  <c r="E10" i="3"/>
  <c r="E12" i="3" s="1"/>
  <c r="E8" i="3"/>
  <c r="E7" i="3"/>
  <c r="E6" i="3"/>
  <c r="B54" i="2"/>
  <c r="B48" i="2"/>
  <c r="B36" i="2"/>
  <c r="B28" i="2"/>
  <c r="B17" i="2"/>
  <c r="B15" i="2"/>
  <c r="B18" i="2" s="1"/>
  <c r="B30" i="2" s="1"/>
  <c r="B58" i="2" s="1"/>
  <c r="B43" i="1"/>
  <c r="F42" i="1"/>
  <c r="F41" i="1"/>
  <c r="F40" i="1"/>
  <c r="F39" i="1"/>
  <c r="F38" i="1"/>
  <c r="F37" i="1"/>
  <c r="F36" i="1"/>
  <c r="F35" i="1"/>
  <c r="F34" i="1"/>
  <c r="F33" i="1"/>
  <c r="F32" i="1"/>
  <c r="F31" i="1"/>
  <c r="B22" i="1"/>
  <c r="B14" i="1"/>
  <c r="B33" i="3"/>
  <c r="B23" i="3"/>
  <c r="B20" i="3"/>
  <c r="B12" i="3"/>
  <c r="B31" i="2" l="1"/>
  <c r="B45" i="1"/>
  <c r="B55" i="1" s="1"/>
  <c r="B24" i="1"/>
  <c r="B29" i="3"/>
  <c r="B34" i="3"/>
  <c r="B65" i="2" s="1"/>
  <c r="B66" i="2" s="1"/>
  <c r="B28" i="3"/>
  <c r="B27" i="3"/>
  <c r="B37" i="2"/>
  <c r="B59" i="2" l="1"/>
  <c r="B68" i="2"/>
  <c r="B52" i="1" l="1"/>
  <c r="B53" i="1" s="1"/>
  <c r="B56" i="1" s="1"/>
  <c r="B57" i="1" s="1"/>
  <c r="B69" i="2"/>
</calcChain>
</file>

<file path=xl/sharedStrings.xml><?xml version="1.0" encoding="utf-8"?>
<sst xmlns="http://schemas.openxmlformats.org/spreadsheetml/2006/main" count="402" uniqueCount="306">
  <si>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</si>
  <si>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</si>
  <si>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</si>
  <si>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Item</t>
  </si>
  <si>
    <t>Cost (£/month)</t>
  </si>
  <si>
    <t>Category</t>
  </si>
  <si>
    <t>Notes</t>
  </si>
  <si>
    <t>Midjourney </t>
  </si>
  <si>
    <t>Design</t>
  </si>
  <si>
    <t>Placeholder — not yet chosen (per chat, July 2026). Separate from Midjourney, already costed per-design-set in the Business Plan; add it here too if it becomes an ongoing monthly subscription.</t>
  </si>
  <si>
    <t>lovart</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</si>
  <si>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</si>
  <si>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</si>
  <si>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</si>
  <si>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</si>
  <si>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</si>
  <si>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</si>
  <si>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</si>
  <si>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</si>
  <si>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</si>
  <si>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</si>
  <si>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</si>
  <si>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</si>
  <si>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</si>
  <si>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</si>
  <si>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</si>
  <si>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</si>
  <si>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</si>
  <si>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</si>
  <si>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</si>
  <si>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</si>
  <si>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</si>
  <si>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</si>
  <si>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</si>
  <si>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</si>
  <si>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</si>
  <si>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</si>
  <si>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</si>
  <si>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</si>
  <si>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</si>
  <si>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</si>
  <si>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</si>
  <si>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</si>
  <si>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</si>
  <si>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Tier 1 Equipment Costs — Sticker Side Hustle</t>
  </si>
  <si>
    <t>Prices checked July 2026 (GBP). Blue = editable input. Black = calculated.</t>
  </si>
  <si>
    <t>Low (£)</t>
  </si>
  <si>
    <t>Epson EcoTank ET-3950 (pigment-ink printer, current gen)</t>
  </si>
  <si>
    <t>Core</t>
  </si>
  <si>
    <t>Pigment black ink for waterproof prints</t>
  </si>
  <si>
    <t>Printable vinyl sticker paper (starter pack)</t>
  </si>
  <si>
    <t>A4 waterproof printable vinyl</t>
  </si>
  <si>
    <t>moved to r&amp;d</t>
  </si>
  <si>
    <t>Self-adhesive laminate sheets + squeegee</t>
  </si>
  <si>
    <t>Cold lamination sheets, feeds through laminator</t>
  </si>
  <si>
    <t>Manual cold roll laminator (VEVOR, A4 width min.)</t>
  </si>
  <si>
    <t>Promoted from optional — removes bubble/wrinkle risk vs hand-applying</t>
  </si>
  <si>
    <t>Stickiply </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</si>
  <si>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</si>
  <si>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</si>
  <si>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</si>
  <si>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</si>
  <si>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</si>
  <si>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</si>
  <si>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</si>
  <si>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</si>
  <si>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Self-Healing Cutting Mat (A4)</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</si>
  <si>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</si>
  <si>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</si>
  <si>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</si>
  <si>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</si>
  <si>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</si>
  <si>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</si>
  <si>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</si>
  <si>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</si>
  <si>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</si>
  <si>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</si>
  <si>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</si>
  <si>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</si>
  <si>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</si>
  <si>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</si>
  <si>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</si>
  <si>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</si>
  <si>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</si>
  <si>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count</t>
  </si>
  <si>
    <t>Matte Self-Adhesive Laminate | Pro UV × 1</t>
  </si>
  <si>
    <t xml:space="preserve">Stickiply </t>
  </si>
  <si>
    <t>Printable Vinyl Sticker Paper | Clear (A4) × 1</t>
  </si>
  <si>
    <t>R&amp;D</t>
  </si>
  <si>
    <t>One-off purchase of all 4 packaging candidates for side-by-side comparison. See Bin-Sticker-Shipping-Plan.md 'Testing shopping list' (~£33–35 total as pinned there — update once actually spent).</t>
  </si>
  <si>
    <t>Printable Vinyl Sticker Paper | Glossy (A4) × 1</t>
  </si>
  <si>
    <t>2nd Class postage for the 4 test parcels in Test 6. See Bin-Sticker-Shipping-Plan.md.</t>
  </si>
  <si>
    <t>Brown Kraft Card, A4 Card 250GSM Thick Kraft Card Stock for Cards Making, Scrapbook, Office Printing and Arts or Crafts DIY (25 Sheets)</t>
  </si>
  <si>
    <t>amazon</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</si>
  <si>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</si>
  <si>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</si>
  <si>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</si>
  <si>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</si>
  <si>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</si>
  <si>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</si>
  <si>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Printable Waterproof Sticker Set – A4 (20 ct), White</t>
  </si>
  <si>
    <t>cricut</t>
  </si>
  <si>
    <t>Shipping</t>
  </si>
  <si>
    <t>Printable Waterproof Sticker Set – A4 (20 ct), Transparent</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</si>
  <si>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</si>
  <si>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</si>
  <si>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</si>
  <si>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</si>
  <si>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</si>
  <si>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</si>
  <si>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</si>
  <si>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</si>
  <si>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</si>
  <si>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</si>
  <si>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</si>
  <si>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</si>
  <si>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</si>
  <si>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</si>
  <si>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</si>
  <si>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</si>
  <si>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</si>
  <si>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</si>
  <si>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</si>
  <si>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</si>
  <si>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</si>
  <si>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</si>
  <si>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</si>
  <si>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</si>
  <si>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</si>
  <si>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</si>
  <si>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</si>
  <si>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</si>
  <si>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</si>
  <si>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</si>
  <si>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</si>
  <si>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</si>
  <si>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</si>
  <si>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</si>
  <si>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</si>
  <si>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</si>
  <si>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</si>
  <si>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</si>
  <si>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</si>
  <si>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</si>
  <si>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</si>
  <si>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</si>
  <si>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</si>
  <si>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</si>
  <si>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</si>
  <si>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</si>
  <si>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</si>
  <si>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</si>
  <si>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</si>
  <si>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</si>
  <si>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</si>
  <si>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</si>
  <si>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</si>
  <si>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</si>
  <si>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</si>
  <si>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</si>
  <si>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</si>
  <si>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</si>
  <si>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</si>
  <si>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</si>
  <si>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</si>
  <si>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</si>
  <si>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</si>
  <si>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</si>
  <si>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</si>
  <si>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</si>
  <si>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</si>
  <si>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</si>
  <si>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</si>
  <si>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</si>
  <si>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</si>
  <si>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</si>
  <si>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</si>
  <si>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</si>
  <si>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</si>
  <si>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</si>
  <si>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</si>
  <si>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</si>
  <si>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</si>
  <si>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</si>
  <si>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</si>
  <si>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</si>
  <si>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</si>
  <si>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</si>
  <si>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</si>
  <si>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</si>
  <si>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</si>
  <si>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</si>
  <si>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</si>
  <si>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</si>
  <si>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</si>
  <si>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</si>
  <si>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</si>
  <si>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</si>
  <si>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</si>
  <si>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full year</t>
  </si>
  <si>
    <t>item</t>
  </si>
  <si>
    <t>cost</t>
  </si>
  <si>
    <t>shipping</t>
  </si>
  <si>
    <t>total per item</t>
  </si>
  <si>
    <t>Stickiply</t>
  </si>
  <si>
    <t>white vinyl</t>
  </si>
  <si>
    <t>clear vinyl</t>
  </si>
  <si>
    <t>lamination</t>
  </si>
  <si>
    <t>Cricut</t>
  </si>
  <si>
    <t>total</t>
  </si>
  <si>
    <t>per item</t>
  </si>
  <si>
    <t>diff</t>
  </si>
  <si>
    <t>EBAY MARKETING — PROMOTED LISTINGS &amp; FEE STACK (added Aug 2026)</t>
  </si>
  <si>
    <t>Ad spend is a VARIABLE cost (scales with price × volume), unlike the fixed monthly subscriptions above — deliberately kept as its own block rather than folded into the MONTHLY OVERHEAD SUBTOTAL (B11), since mixing a %-of-price cost into that flat per-sticker allocation would distort it whenever price changes. See chat for full research: ad-rate benchmarks, eBay's own suggested rates vs independent guidance, and how this stacks with Final Value Fee / per-order fee / regulatory fee. FLAG: price input below (£3.00) is a placeholder mid-point of the user-specified £2-4 'simple stickers' range (Aug 2026 chat) — this differs from the Business Plan Section 3 bin sticker range (£5-8/set) and the 'Bin Stickers 100x140 4pk' sheet (~£6/pack). Clarify whether this is a new single-sticker product tier or a per-unit breakdown of the existing set price, then reconcile across files.</t>
  </si>
  <si>
    <t>Assumed sale price per unit (£)</t>
  </si>
  <si>
    <t>Placeholder mid-point of user-specified £2-4 range — see flag above. Edit once price is locked.</t>
  </si>
  <si>
    <t>Promoted Listings ad rate (% of sale price)</t>
  </si>
  <si>
    <t>User-selected 4% (Aug 2026 chat) — independent-guidance recommended ceiling for small/new sellers. eBay's own suggested rate typically runs 8-15% and is optimised for eBay's revenue, not yours; community reports of 2-30% exist depending on category/margin. General/Standard campaign (cost-per-sale) assumed, not Priority/Advanced (cost-per-click) — right choice for a single-product launch at this volume.</t>
  </si>
  <si>
    <t>eBay Final Value Fee (business seller, standard category)</t>
  </si>
  <si>
    <t>12.8% of item price + postage, most categories, checked Aug 2026. Matches the ~13% already assumed in Business Plan Section 6, just broken out precisely here.</t>
  </si>
  <si>
    <t>eBay per-order fee (£, flat)</t>
  </si>
  <si>
    <t>30p per order under £10; rises to 40p for orders ≥£10 (changed Feb 2026 — NOT yet reflected in Business Plan Section 6 or the 4pk cost sheet, worth adding there too). At a £2-4 unit price this stays at 30p unless bundling pushes a single order over £10.</t>
  </si>
  <si>
    <t>eBay Regulatory Operating Fee (% of item price + postage)</t>
  </si>
  <si>
    <t>~0.35-0.43% UK regulatory fee, introduced April 2024, applies to all UK business sellers regardless of ad usage — also not currently broken out elsewhere in the workbook. 0.4% used as a midpoint.</t>
  </si>
  <si>
    <t>→ COST PER UNIT SOLD</t>
  </si>
  <si>
    <t>Ad spend per unit (£)</t>
  </si>
  <si>
    <t>Final Value Fee per unit (£)</t>
  </si>
  <si>
    <t>Regulatory fee per unit (£)</t>
  </si>
  <si>
    <t>TOTAL EBAY PLATFORM COST PER UNIT (FVF + per-order + regulatory + ad) (£)</t>
  </si>
  <si>
    <t>Net proceeds per unit after all eBay fees (£)</t>
  </si>
  <si>
    <t>Total eBay fees as % of sale price</t>
  </si>
  <si>
    <t>→ MONTHLY, AT ACTIVE SCENARIO VOLUME (from ACTIVE SCENARIO block above)</t>
  </si>
  <si>
    <t>Active monthly volume (stickers)</t>
  </si>
  <si>
    <t>Monthly ad spend at active volume (£)</t>
  </si>
  <si>
    <t>Monthly TOTAL eBay platform fees at active volume (£)</t>
  </si>
  <si>
    <t>Not yet wired into the per-sticker OVERHEAD figures above (B26-B33) or into the 'Bin Stickers 100x140 4pk' sheet, on purpose — it's a %-of-price cost, and that sheet models a different price point (£6/4pk) than the £2-4 range given here. Once the 'simple stickers' price/product is confirmed, this block's TOTAL EBAY PLATFORM COST PER UNIT row can be added directly into that sheet's fee/margin table, or this section's monthly ad spend can be added into B11's SUM range above if you'd rather treat it as pooled overhead — flag either way so the two stay consistent.</t>
  </si>
  <si>
    <t>Etsy — Fees &amp; Advertising (UK shop, not VAT-registered)</t>
  </si>
  <si>
    <t>Blue = editable input. Black = calculated. Companion to Etsy-Marketing-Guide.md — see that file for full context/sources. FLAG: price input below (£3.00) is a placeholder mid-point of the user-specified £2-4 'simple stickers' range — differs from Business Plan Section 3 (£5-8/set bin stickers). 'Sale price' here is treated as the TOTAL amount the buyer pays (item + any shipping charged), matching how Etsy calculates its fees.</t>
  </si>
  <si>
    <t>INPUTS</t>
  </si>
  <si>
    <t>Assumed sale price per unit, total incl. shipping (£)</t>
  </si>
  <si>
    <t>Placeholder — see flag above. Edit once price is locked.</t>
  </si>
  <si>
    <t>Listing fee per listing (£)</t>
  </si>
  <si>
    <t>~$0.20 USD converted. Charged whether or not it sells; renews every 4 months and again per sale on multi-quantity listings — this model assumes 1 listing fee per unit sold, the conservative case.</t>
  </si>
  <si>
    <t>Transaction fee rate</t>
  </si>
  <si>
    <t>6.5% of item price + shipping + gift wrap.</t>
  </si>
  <si>
    <t>Payment processing rate</t>
  </si>
  <si>
    <t>4% + fixed fee below. Etsy Payments is mandatory, no alternative processor option.</t>
  </si>
  <si>
    <t>Payment processing fixed fee (£)</t>
  </si>
  <si>
    <t>Regulatory Operating Fee rate</t>
  </si>
  <si>
    <t>0.32% of item price + shipping, UK-specific since 2022.</t>
  </si>
  <si>
    <t>VAT on Etsy fees (applies — not VAT-registered)</t>
  </si>
  <si>
    <t>20% VAT charged on ALL of Etsy's fees above when the seller isn't VAT-registered (per current business plan strategy). Set to 0% here if VAT registration status changes.</t>
  </si>
  <si>
    <t>Offsite Ads currently active? (Y/N)</t>
  </si>
  <si>
    <t>N</t>
  </si>
  <si>
    <t>Optional and should be switched OFF in Shop Manager while trailing 12-month revenue is under $10,000 USD (~£8,000) — see guide. Becomes mandatory (can't be set to N) once that threshold is crossed.</t>
  </si>
  <si>
    <t>Offsite Ads fee rate (if active)</t>
  </si>
  <si>
    <t>15% below $10k trailing revenue, 12% once mandatory at/above it.</t>
  </si>
  <si>
    <t>Etsy Ads (onsite) daily budget (£) — optional, separate CPC spend</t>
  </si>
  <si>
    <t>Minimum ~£1/day. This is a controllable CPC budget, NOT a %-of-sale fee — kept separate from the cost-per-unit maths below since it doesn't scale with units sold. Shown as a monthly figure further down.</t>
  </si>
  <si>
    <t>→ COST PER UNIT SOLD (Listing + Transaction + Payment processing + Regulatory + VAT-on-fees)</t>
  </si>
  <si>
    <t>Transaction fee (£)</t>
  </si>
  <si>
    <t>Payment processing fee (£)</t>
  </si>
  <si>
    <t>Regulatory fee (£)</t>
  </si>
  <si>
    <t>Subtotal before VAT (£)</t>
  </si>
  <si>
    <t>VAT on fees (£)</t>
  </si>
  <si>
    <t>Offsite Ads fee incl. its own VAT (£), if active</t>
  </si>
  <si>
    <t>TOTAL ETSY FEES PER UNIT (£)</t>
  </si>
  <si>
    <t>Net proceeds per unit after all Etsy fees (£)</t>
  </si>
  <si>
    <t>Total Etsy fees as % of sale price</t>
  </si>
  <si>
    <t>→ MONTHLY, AT ACTIVE SCENARIO VOLUME (from 'Recurring Overhead' sheet)</t>
  </si>
  <si>
    <t>Monthly total Etsy fees at active volume (£)</t>
  </si>
  <si>
    <t>Monthly Etsy Ads (onsite) budget, if used (£)</t>
  </si>
  <si>
    <t>Independent of units sold — a controllable CPC budget, not charged per unit.</t>
  </si>
  <si>
    <t>Not wired into the 'Recurring Overhead' sheet's fixed subscription subtotal (B11), same rationale as the eBay block there: these are %-of-price/variable costs, and mixing them into a flat £/sticker overhead figure would distort it whenever price changes. See Etsy-Marketing-Guide.md for the recommended launch approach (Offsite Ads off, small onsite Ads budget, fix listing fundamentals first).</t>
  </si>
  <si>
    <t>Amazon — Fees &amp; Advertising (UK, FBM assumed)</t>
  </si>
  <si>
    <t>Blue = editable input. Black = calculated. Companion to Amazon-Marketing-Guide.md. FLAG: same £2-4 vs £5-8 price ambiguity as the other sheets applies here — £3.00 used as a placeholder. Amazon Handmade eligibility (12.24% flat referral fee, vs standard 8-15% category fee) is NOT confirmed for laminated vinyl stickers — standard referral fee used below as the conservative default; switch the input if Handmade is confirmed eligible.</t>
  </si>
  <si>
    <t>Placeholder — see flag above.</t>
  </si>
  <si>
    <t>Referral fee rate</t>
  </si>
  <si>
    <t>8-15% typical range by category; 15% (top of range) used as the conservative default. Confirm actual category rate before launch — check Amazon Handmade (12.24% flat) eligibility too.</t>
  </si>
  <si>
    <t>Minimum referral fee (£)</t>
  </si>
  <si>
    <t>Applies regardless of price — matters at £2-4 unit prices since the percentage-based fee may fall below this floor.</t>
  </si>
  <si>
    <t>Digital Services Tax pass-through rate</t>
  </si>
  <si>
    <t>Applied on top of the referral fee for UK-established sellers.</t>
  </si>
  <si>
    <t>Using Professional account? (Y/N)</t>
  </si>
  <si>
    <t>Required for Sponsored Products (PPC) access, Buy Box eligibility, and new listing creation. Guide recommends holding off until volume/margin justify the flat monthly cost. Set to 'Y' once committed.</t>
  </si>
  <si>
    <t>Professional account monthly fee (£)</t>
  </si>
  <si>
    <t>Individual account per-item fee (£, if not Professional)</t>
  </si>
  <si>
    <t>Sponsored Products target ACoS (launch phase)</t>
  </si>
  <si>
    <t>30-40%+ is normal/accepted during a launch phase per general guidance; established-product benchmarks run 15-25%. Only relevant if Professional account + Sponsored Products are actually turned on.</t>
  </si>
  <si>
    <t>→ COST PER UNIT SOLD (selling fees only, before advertising)</t>
  </si>
  <si>
    <t>Referral fee, greater of rate or minimum (£)</t>
  </si>
  <si>
    <t>Referral fee incl. DST pass-through (£)</t>
  </si>
  <si>
    <t>Account fee per unit — Individual only (£)</t>
  </si>
  <si>
    <t>Professional's £25/mo is a flat monthly cost, not per-unit — shown separately below.</t>
  </si>
  <si>
    <t>TOTAL SELLING FEES PER UNIT (£)</t>
  </si>
  <si>
    <t>Net proceeds per unit after selling fees, before advertising (£)</t>
  </si>
  <si>
    <t>Total selling fees as % of sale price</t>
  </si>
  <si>
    <t>→ MONTHLY, AT ACTIVE SCENARIO VOLUME</t>
  </si>
  <si>
    <t>Monthly total selling fees at active volume (£)</t>
  </si>
  <si>
    <t>Monthly Professional account fee, if used (£)</t>
  </si>
  <si>
    <t>Estimated monthly Sponsored Products spend, if Professional + advertising used (£)</t>
  </si>
  <si>
    <t>Approximation: ACoS × assumed monthly revenue, treating all volume as ad-attributed — a simplification, real ad-attributed revenue will be a subset of total sales. CPC spend is NOT cost-per-sale, so this is charged whether or not those specific clicks convert.</t>
  </si>
  <si>
    <t>Not wired into the 'Recurring Overhead' sheet's fixed subscription subtotal (B11) — same rationale as the eBay and Etsy blocks: variable/%-of-price costs kept separate from the flat £/sticker overhead allocation. Guide recommends holding Professional account + Sponsored Products off until Amazon volume and margin are established via eBay/Etsy first — the Y/N toggles above default to 'off' accordingly.</t>
  </si>
  <si>
    <t>stikly clear</t>
  </si>
  <si>
    <t>gmail account</t>
  </si>
  <si>
    <t>domain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</si>
</sst>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
    <numFmt numFmtId="165" formatCode="0.0"/>
    <numFmt numFmtId="166" formatCode="0.0%"/>
    <numFmt numFmtId="167" formatCode="#,##0.00000000000000"/>
    <numFmt numFmtId="168" formatCode="#,##0.000"/>
  </numFmts>
  <fonts count="34"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
      <sz val="13"/>
      <color rgb="FF1F1F1F"/>
      <name val="Arial"/>
      <family val="2"/>
    </font>
    <font>
      <sz val="11"/>
      <color rgb="FF000000"/>
      <name val="Arial"/>
      <family val="2"/>
    </font>
    <font>
      <b/>
      <sz val="11"/>
      <color rgb="FF1F3864"/>
      <name val="Cambria"/>
      <charset val="1"/>
    </font>
    <font>
      <i/>
      <sz val="10"/>
      <color rgb="FF666666"/>
      <name val="Cambria"/>
      <charset val="1"/>
    </font>
    <font>
      <b/>
      <sz val="11"/>
      <color rgb="FFFFFFFF"/>
      <name val="Cambria"/>
      <charset val="1"/>
    </font>
    <font>
      <sz val="11"/>
      <color rgb="FF000000"/>
      <name val="Cambria"/>
      <charset val="1"/>
    </font>
    <font>
      <sz val="11"/>
      <color rgb="FF0000FF"/>
      <name val="Cambria"/>
      <charset val="1"/>
    </font>
    <font>
      <b/>
      <sz val="14"/>
      <color rgb="FF1F3864"/>
      <name val="Cambria"/>
      <charset val="1"/>
    </font>
  </fonts>
  <fills count="7">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
      <patternFill patternType="solid">
        <fgColor rgb="FFFFFF00"/>
        <bgColor indexed="64"/>
      </patternFill>
    </fill>
    <fill>
      <patternFill patternType="solid">
        <fgColor rgb="FF1F3864"/>
        <bgColor rgb="FF1F1F1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5" fillId="0" borderId="0"/>
  </cellStyleXfs>
  <cellXfs count="71">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2" fillId="0" borderId="0" xfId="0" applyFont="1" applyAlignment="1">
      <alignment horizontal="left" vertical="center"/>
    </xf>
    <xf numFmtId="0" fontId="23" fillId="0" borderId="0" xfId="0" applyFont="1"/>
    <xf numFmtId="0" fontId="24" fillId="0" borderId="0" xfId="0" applyFont="1"/>
    <xf numFmtId="0" fontId="25" fillId="0" borderId="0" xfId="1"/>
    <xf numFmtId="0" fontId="26" fillId="0" borderId="0" xfId="0" applyFont="1"/>
    <xf numFmtId="0" fontId="27" fillId="0" borderId="0" xfId="0" applyFont="1"/>
    <xf numFmtId="0" fontId="0" fillId="5" borderId="0" xfId="0" applyFill="1"/>
    <xf numFmtId="0" fontId="28" fillId="0" borderId="0" xfId="0" applyFont="1"/>
    <xf numFmtId="0" fontId="29" fillId="0" borderId="0" xfId="0" applyFont="1"/>
    <xf numFmtId="0" fontId="30" fillId="6" borderId="0" xfId="0" applyFont="1" applyFill="1"/>
    <xf numFmtId="0" fontId="31" fillId="0" borderId="0" xfId="0" applyFont="1"/>
    <xf numFmtId="164" fontId="32" fillId="0" borderId="0" xfId="0" applyNumberFormat="1" applyFont="1"/>
    <xf numFmtId="166" fontId="32" fillId="0" borderId="0" xfId="0" applyNumberFormat="1" applyFont="1"/>
    <xf numFmtId="164" fontId="31" fillId="0" borderId="0" xfId="0" applyNumberFormat="1" applyFont="1"/>
    <xf numFmtId="166" fontId="31" fillId="0" borderId="0" xfId="0" applyNumberFormat="1" applyFont="1"/>
    <xf numFmtId="1" fontId="31" fillId="0" borderId="0" xfId="0" applyNumberFormat="1" applyFont="1"/>
    <xf numFmtId="0" fontId="33" fillId="0" borderId="0" xfId="0" applyFont="1"/>
    <xf numFmtId="0" fontId="32" fillId="0" borderId="0" xfId="0" applyFont="1"/>
    <xf numFmtId="167" fontId="0" fillId="0" borderId="0" xfId="0" applyNumberFormat="1"/>
    <xf numFmtId="168" fontId="0" fillId="0" borderId="0" xfId="0" applyNumberFormat="1"/>
    <xf numFmtId="0" fontId="2" fillId="0" borderId="0" xfId="0" applyFont="1"/>
    <xf numFmtId="0" fontId="0" fillId="0" borderId="0" xfId="0"/>
    <xf numFmtId="0" fontId="2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9"/>
  <sheetViews>
    <sheetView tabSelected="1" zoomScaleNormal="100" workbookViewId="0">
      <pane ySplit="4" topLeftCell="A30" activePane="bottomLeft" state="frozen"/>
      <selection pane="bottomLeft" activeCell="A35" sqref="A35"/>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44</v>
      </c>
    </row>
    <row r="2" spans="1:5" ht="15" customHeight="1" x14ac:dyDescent="0.3">
      <c r="A2" s="1" t="s">
        <v>45</v>
      </c>
    </row>
    <row r="4" spans="1:5" ht="15" customHeight="1" x14ac:dyDescent="0.3">
      <c r="A4" s="5" t="s">
        <v>3</v>
      </c>
      <c r="B4" s="5" t="s">
        <v>46</v>
      </c>
      <c r="C4" s="5" t="s">
        <v>5</v>
      </c>
      <c r="D4" s="5" t="s">
        <v>6</v>
      </c>
    </row>
    <row r="5" spans="1:5" ht="15" customHeight="1" x14ac:dyDescent="0.3">
      <c r="A5" s="6" t="s">
        <v>47</v>
      </c>
      <c r="B5" s="7">
        <v>370</v>
      </c>
      <c r="C5" s="6" t="s">
        <v>48</v>
      </c>
      <c r="D5" s="8" t="s">
        <v>49</v>
      </c>
    </row>
    <row r="6" spans="1:5" ht="15" customHeight="1" x14ac:dyDescent="0.3">
      <c r="A6" s="6" t="s">
        <v>50</v>
      </c>
      <c r="B6" s="7">
        <v>0</v>
      </c>
      <c r="C6" s="6" t="s">
        <v>48</v>
      </c>
      <c r="D6" s="8" t="s">
        <v>51</v>
      </c>
      <c r="E6" t="s">
        <v>52</v>
      </c>
    </row>
    <row r="7" spans="1:5" ht="15" customHeight="1" x14ac:dyDescent="0.3">
      <c r="A7" s="6" t="s">
        <v>53</v>
      </c>
      <c r="B7" s="7">
        <v>0</v>
      </c>
      <c r="C7" s="6" t="s">
        <v>48</v>
      </c>
      <c r="D7" s="8" t="s">
        <v>54</v>
      </c>
      <c r="E7" t="s">
        <v>52</v>
      </c>
    </row>
    <row r="8" spans="1:5" ht="15" customHeight="1" x14ac:dyDescent="0.3">
      <c r="A8" s="6" t="s">
        <v>55</v>
      </c>
      <c r="B8" s="7">
        <v>105</v>
      </c>
      <c r="C8" s="6" t="s">
        <v>48</v>
      </c>
      <c r="D8" s="8" t="s">
        <v>56</v>
      </c>
      <c r="E8" s="48" t="s">
        <v>57</v>
      </c>
    </row>
    <row r="9" spans="1:5" ht="15" customHeight="1" x14ac:dyDescent="0.3">
      <c r="A9" s="6" t="s">
        <v>58</v>
      </c>
      <c r="B9" s="7">
        <v>0</v>
      </c>
      <c r="C9" s="6" t="s">
        <v>48</v>
      </c>
      <c r="D9" s="8" t="s">
        <v>59</v>
      </c>
    </row>
    <row r="10" spans="1:5" ht="15" customHeight="1" x14ac:dyDescent="0.3">
      <c r="A10" t="s">
        <v>60</v>
      </c>
      <c r="B10">
        <v>38</v>
      </c>
      <c r="C10" t="s">
        <v>48</v>
      </c>
      <c r="D10" t="s">
        <v>61</v>
      </c>
    </row>
    <row r="11" spans="1:5" x14ac:dyDescent="0.3">
      <c r="A11" t="s">
        <v>62</v>
      </c>
      <c r="B11">
        <v>7</v>
      </c>
      <c r="C11" t="s">
        <v>48</v>
      </c>
      <c r="D11" t="s">
        <v>63</v>
      </c>
    </row>
    <row r="12" spans="1:5" ht="15" customHeight="1" x14ac:dyDescent="0.3">
      <c r="A12" t="s">
        <v>64</v>
      </c>
      <c r="B12">
        <v>5</v>
      </c>
      <c r="C12" t="s">
        <v>48</v>
      </c>
      <c r="D12" t="s">
        <v>65</v>
      </c>
    </row>
    <row r="13" spans="1:5" ht="15" customHeight="1" x14ac:dyDescent="0.35">
      <c r="A13" s="49" t="s">
        <v>66</v>
      </c>
      <c r="B13">
        <v>4</v>
      </c>
    </row>
    <row r="14" spans="1:5" ht="15" customHeight="1" x14ac:dyDescent="0.3">
      <c r="A14" s="9" t="s">
        <v>67</v>
      </c>
      <c r="B14" s="10">
        <f>SUM(B5:B13)</f>
        <v>529</v>
      </c>
      <c r="C14" s="11"/>
      <c r="D14" s="11"/>
    </row>
    <row r="15" spans="1:5" ht="15" customHeight="1" x14ac:dyDescent="0.3"/>
    <row r="16" spans="1:5" ht="15" customHeight="1" x14ac:dyDescent="0.3">
      <c r="A16" s="12" t="s">
        <v>68</v>
      </c>
    </row>
    <row r="17" spans="1:7" ht="15" customHeight="1" x14ac:dyDescent="0.3">
      <c r="A17" s="5" t="s">
        <v>3</v>
      </c>
      <c r="B17" s="5" t="s">
        <v>46</v>
      </c>
      <c r="C17" s="5" t="s">
        <v>5</v>
      </c>
      <c r="D17" s="5" t="s">
        <v>6</v>
      </c>
    </row>
    <row r="18" spans="1:7" ht="15" customHeight="1" x14ac:dyDescent="0.3">
      <c r="A18" s="6" t="s">
        <v>69</v>
      </c>
      <c r="B18" s="7">
        <v>96</v>
      </c>
      <c r="C18" s="6" t="s">
        <v>70</v>
      </c>
      <c r="D18" s="8" t="s">
        <v>71</v>
      </c>
    </row>
    <row r="19" spans="1:7" x14ac:dyDescent="0.3">
      <c r="A19" s="6" t="s">
        <v>72</v>
      </c>
      <c r="B19" s="7">
        <v>249.99</v>
      </c>
      <c r="C19" s="6" t="s">
        <v>73</v>
      </c>
      <c r="D19" s="8" t="s">
        <v>74</v>
      </c>
    </row>
    <row r="20" spans="1:7" ht="15" customHeight="1" x14ac:dyDescent="0.3">
      <c r="A20" s="6" t="s">
        <v>75</v>
      </c>
      <c r="B20" s="7">
        <v>11.19</v>
      </c>
      <c r="C20" s="6" t="s">
        <v>73</v>
      </c>
      <c r="D20" s="8" t="s">
        <v>76</v>
      </c>
    </row>
    <row r="21" spans="1:7" ht="15" customHeight="1" x14ac:dyDescent="0.3">
      <c r="A21" s="6" t="s">
        <v>77</v>
      </c>
      <c r="B21" s="7">
        <v>250</v>
      </c>
      <c r="C21" s="6" t="s">
        <v>48</v>
      </c>
      <c r="D21" s="8" t="s">
        <v>78</v>
      </c>
    </row>
    <row r="22" spans="1:7" x14ac:dyDescent="0.3">
      <c r="A22" s="9" t="s">
        <v>79</v>
      </c>
      <c r="B22" s="10">
        <f>SUM(B18:B21)</f>
        <v>607.18000000000006</v>
      </c>
      <c r="C22" s="11"/>
      <c r="D22" s="11"/>
    </row>
    <row r="23" spans="1:7" ht="15" customHeight="1" x14ac:dyDescent="0.3"/>
    <row r="24" spans="1:7" ht="15" customHeight="1" x14ac:dyDescent="0.3">
      <c r="A24" s="13" t="s">
        <v>80</v>
      </c>
      <c r="B24" s="14">
        <f>B14+B18</f>
        <v>625</v>
      </c>
      <c r="C24" s="15"/>
      <c r="D24" s="15"/>
    </row>
    <row r="26" spans="1:7" x14ac:dyDescent="0.3">
      <c r="A26" s="1" t="s">
        <v>81</v>
      </c>
    </row>
    <row r="27" spans="1:7" x14ac:dyDescent="0.3">
      <c r="A27" s="1" t="s">
        <v>82</v>
      </c>
    </row>
    <row r="29" spans="1:7" x14ac:dyDescent="0.3">
      <c r="A29" s="12" t="s">
        <v>83</v>
      </c>
    </row>
    <row r="30" spans="1:7" x14ac:dyDescent="0.3">
      <c r="A30" s="16" t="s">
        <v>3</v>
      </c>
      <c r="B30" s="16" t="s">
        <v>46</v>
      </c>
      <c r="C30" s="16" t="s">
        <v>5</v>
      </c>
      <c r="D30" s="16" t="s">
        <v>6</v>
      </c>
      <c r="E30" s="16" t="s">
        <v>84</v>
      </c>
    </row>
    <row r="31" spans="1:7" ht="15" customHeight="1" x14ac:dyDescent="0.35">
      <c r="A31" s="49" t="s">
        <v>85</v>
      </c>
      <c r="B31" s="18">
        <v>13</v>
      </c>
      <c r="C31" s="17"/>
      <c r="D31" s="1"/>
      <c r="E31">
        <v>25</v>
      </c>
      <c r="F31">
        <f t="shared" ref="F31:F40" si="0">B31/E31</f>
        <v>0.52</v>
      </c>
      <c r="G31" t="s">
        <v>86</v>
      </c>
    </row>
    <row r="32" spans="1:7" ht="15" customHeight="1" x14ac:dyDescent="0.35">
      <c r="A32" s="49" t="s">
        <v>87</v>
      </c>
      <c r="B32" s="18">
        <v>8</v>
      </c>
      <c r="C32" s="17" t="s">
        <v>88</v>
      </c>
      <c r="D32" s="1" t="s">
        <v>89</v>
      </c>
      <c r="E32">
        <v>10</v>
      </c>
      <c r="F32">
        <f t="shared" si="0"/>
        <v>0.8</v>
      </c>
      <c r="G32" t="s">
        <v>86</v>
      </c>
    </row>
    <row r="33" spans="1:9" ht="15" customHeight="1" x14ac:dyDescent="0.35">
      <c r="A33" s="50" t="s">
        <v>90</v>
      </c>
      <c r="B33" s="18">
        <v>5.85</v>
      </c>
      <c r="C33" s="17" t="s">
        <v>88</v>
      </c>
      <c r="D33" s="1" t="s">
        <v>91</v>
      </c>
      <c r="E33">
        <v>10</v>
      </c>
      <c r="F33">
        <f t="shared" si="0"/>
        <v>0.58499999999999996</v>
      </c>
      <c r="G33" t="s">
        <v>86</v>
      </c>
    </row>
    <row r="34" spans="1:9" x14ac:dyDescent="0.3">
      <c r="A34" s="51" t="s">
        <v>92</v>
      </c>
      <c r="B34" s="18">
        <v>6</v>
      </c>
      <c r="C34" s="17"/>
      <c r="D34" s="1"/>
      <c r="E34">
        <v>25</v>
      </c>
      <c r="F34">
        <f t="shared" si="0"/>
        <v>0.24</v>
      </c>
      <c r="G34" t="s">
        <v>93</v>
      </c>
    </row>
    <row r="35" spans="1:9" x14ac:dyDescent="0.3">
      <c r="A35" s="51" t="s">
        <v>94</v>
      </c>
      <c r="B35" s="18">
        <v>7.37</v>
      </c>
      <c r="C35" s="17"/>
      <c r="D35" s="1"/>
      <c r="E35">
        <v>50</v>
      </c>
      <c r="F35">
        <f t="shared" si="0"/>
        <v>0.1474</v>
      </c>
      <c r="G35" t="s">
        <v>93</v>
      </c>
    </row>
    <row r="36" spans="1:9" x14ac:dyDescent="0.3">
      <c r="A36" s="51" t="s">
        <v>95</v>
      </c>
      <c r="B36" s="18">
        <v>6</v>
      </c>
      <c r="C36" s="17"/>
      <c r="D36" s="1"/>
      <c r="E36">
        <v>25</v>
      </c>
      <c r="F36">
        <f t="shared" si="0"/>
        <v>0.24</v>
      </c>
      <c r="G36" t="s">
        <v>93</v>
      </c>
    </row>
    <row r="37" spans="1:9" x14ac:dyDescent="0.3">
      <c r="A37" s="51" t="s">
        <v>96</v>
      </c>
      <c r="B37" s="18">
        <v>9</v>
      </c>
      <c r="C37" s="17"/>
      <c r="D37" s="1"/>
      <c r="E37">
        <v>100</v>
      </c>
      <c r="F37">
        <f t="shared" si="0"/>
        <v>0.09</v>
      </c>
      <c r="G37" t="s">
        <v>93</v>
      </c>
    </row>
    <row r="38" spans="1:9" x14ac:dyDescent="0.3">
      <c r="A38" s="51" t="s">
        <v>97</v>
      </c>
      <c r="B38" s="18">
        <v>5</v>
      </c>
      <c r="C38" s="17"/>
      <c r="D38" s="1"/>
      <c r="E38">
        <v>40</v>
      </c>
      <c r="F38">
        <f t="shared" si="0"/>
        <v>0.125</v>
      </c>
      <c r="G38" t="s">
        <v>93</v>
      </c>
    </row>
    <row r="39" spans="1:9" x14ac:dyDescent="0.3">
      <c r="A39" s="51" t="s">
        <v>98</v>
      </c>
      <c r="B39" s="18">
        <v>6.09</v>
      </c>
      <c r="C39" s="17"/>
      <c r="D39" s="1"/>
      <c r="E39">
        <v>10</v>
      </c>
      <c r="F39">
        <f t="shared" si="0"/>
        <v>0.60899999999999999</v>
      </c>
      <c r="G39" t="s">
        <v>93</v>
      </c>
    </row>
    <row r="40" spans="1:9" x14ac:dyDescent="0.3">
      <c r="A40" s="51" t="s">
        <v>99</v>
      </c>
      <c r="B40" s="18">
        <v>10</v>
      </c>
      <c r="C40" s="17"/>
      <c r="D40" s="1"/>
      <c r="E40">
        <v>50</v>
      </c>
      <c r="F40">
        <f t="shared" si="0"/>
        <v>0.2</v>
      </c>
      <c r="G40" t="s">
        <v>93</v>
      </c>
    </row>
    <row r="41" spans="1:9" x14ac:dyDescent="0.3">
      <c r="A41" t="s">
        <v>100</v>
      </c>
      <c r="B41" s="18">
        <v>13</v>
      </c>
      <c r="C41" s="17"/>
      <c r="D41" s="1"/>
      <c r="E41">
        <v>20</v>
      </c>
      <c r="F41">
        <f>(B41+I41)/E41</f>
        <v>0.85</v>
      </c>
      <c r="G41" t="s">
        <v>101</v>
      </c>
      <c r="H41" t="s">
        <v>102</v>
      </c>
      <c r="I41">
        <v>4</v>
      </c>
    </row>
    <row r="42" spans="1:9" x14ac:dyDescent="0.3">
      <c r="A42" t="s">
        <v>103</v>
      </c>
      <c r="B42" s="18">
        <v>13</v>
      </c>
      <c r="C42" s="17"/>
      <c r="D42" s="1"/>
      <c r="E42">
        <v>20</v>
      </c>
      <c r="F42">
        <f>(B42+I42)/E42</f>
        <v>0.85</v>
      </c>
      <c r="G42" t="s">
        <v>101</v>
      </c>
      <c r="H42" t="s">
        <v>102</v>
      </c>
      <c r="I42">
        <v>4</v>
      </c>
    </row>
    <row r="43" spans="1:9" x14ac:dyDescent="0.3">
      <c r="A43" s="19" t="s">
        <v>104</v>
      </c>
      <c r="B43" s="20">
        <f>SUM(B31:B42)</f>
        <v>102.31</v>
      </c>
    </row>
    <row r="45" spans="1:9" ht="15.6" customHeight="1" x14ac:dyDescent="0.3">
      <c r="A45" s="21" t="s">
        <v>105</v>
      </c>
      <c r="B45" s="22">
        <f>B14+B43</f>
        <v>631.30999999999995</v>
      </c>
    </row>
    <row r="46" spans="1:9" x14ac:dyDescent="0.3">
      <c r="A46" s="68" t="s">
        <v>106</v>
      </c>
      <c r="B46" s="69"/>
      <c r="C46" s="69"/>
      <c r="D46" s="69"/>
    </row>
    <row r="48" spans="1:9" ht="15.6" customHeight="1" x14ac:dyDescent="0.3">
      <c r="A48" s="23" t="s">
        <v>107</v>
      </c>
    </row>
    <row r="49" spans="1:4" x14ac:dyDescent="0.3">
      <c r="A49" s="68" t="s">
        <v>108</v>
      </c>
      <c r="B49" s="69"/>
      <c r="C49" s="69"/>
      <c r="D49" s="69"/>
    </row>
    <row r="51" spans="1:4" x14ac:dyDescent="0.3">
      <c r="A51" s="17" t="s">
        <v>109</v>
      </c>
      <c r="B51" s="18">
        <v>6</v>
      </c>
      <c r="D51" s="1" t="s">
        <v>110</v>
      </c>
    </row>
    <row r="52" spans="1:4" x14ac:dyDescent="0.3">
      <c r="A52" s="17" t="s">
        <v>111</v>
      </c>
      <c r="B52" s="24">
        <f>'Bin Stickers 100x140 4pk'!B68</f>
        <v>29.027866666666664</v>
      </c>
      <c r="D52" s="1" t="s">
        <v>112</v>
      </c>
    </row>
    <row r="53" spans="1:4" x14ac:dyDescent="0.3">
      <c r="A53" s="25" t="s">
        <v>113</v>
      </c>
      <c r="B53" s="26">
        <f>B51-B52</f>
        <v>-23.027866666666664</v>
      </c>
    </row>
    <row r="55" spans="1:4" x14ac:dyDescent="0.3">
      <c r="A55" s="17" t="s">
        <v>114</v>
      </c>
      <c r="B55" s="27">
        <f>B45</f>
        <v>631.30999999999995</v>
      </c>
    </row>
    <row r="56" spans="1:4" x14ac:dyDescent="0.3">
      <c r="A56" s="19" t="s">
        <v>115</v>
      </c>
      <c r="B56" s="28">
        <f>IFERROR(B55/B53,"N/A")</f>
        <v>-27.415044960019454</v>
      </c>
    </row>
    <row r="57" spans="1:4" x14ac:dyDescent="0.3">
      <c r="A57" s="19" t="s">
        <v>116</v>
      </c>
      <c r="B57" s="28">
        <f>IFERROR(B56*'Bin Stickers 100x140 4pk'!B7,"N/A")</f>
        <v>-109.66017984007782</v>
      </c>
    </row>
    <row r="59" spans="1:4" x14ac:dyDescent="0.3">
      <c r="A59" s="68" t="s">
        <v>117</v>
      </c>
      <c r="B59" s="69"/>
      <c r="C59" s="69"/>
      <c r="D59" s="69"/>
    </row>
  </sheetData>
  <mergeCells count="3">
    <mergeCell ref="A59:D59"/>
    <mergeCell ref="A46:D46"/>
    <mergeCell ref="A49:D49"/>
  </mergeCells>
  <hyperlinks>
    <hyperlink ref="A34" r:id="rId1" display="https://www.amazon.co.uk/dp/B0DK3V552G?ref=ppx_yo2ov_dt_b_fed_asin_title" xr:uid="{00000000-0004-0000-0000-000000000000}"/>
    <hyperlink ref="A35" r:id="rId2" display="https://www.amazon.co.uk/dp/B0DXY7Q984?ref=ppx_yo2ov_dt_b_fed_asin_title" xr:uid="{00000000-0004-0000-0000-000001000000}"/>
    <hyperlink ref="A36" r:id="rId3" display="https://www.amazon.co.uk/dp/B0DJZFTP56?ref=ppx_yo2ov_dt_b_fed_asin_title" xr:uid="{00000000-0004-0000-0000-000002000000}"/>
    <hyperlink ref="A37" r:id="rId4" display="https://www.amazon.co.uk/dp/B082WLC8BJ?ref=ppx_yo2ov_dt_b_fed_asin_title" xr:uid="{00000000-0004-0000-0000-000003000000}"/>
    <hyperlink ref="A38" r:id="rId5" display="https://www.amazon.co.uk/dp/B0BNQW8LY3?ref=ppx_yo2ov_dt_b_fed_asin_title" xr:uid="{00000000-0004-0000-0000-000004000000}"/>
    <hyperlink ref="A39" r:id="rId6" display="https://www.amazon.co.uk/dp/B0DFZ6585M?ref=ppx_yo2ov_dt_b_fed_asin_title" xr:uid="{00000000-0004-0000-0000-000005000000}"/>
    <hyperlink ref="A40" r:id="rId7" display="https://www.amazon.co.uk/dp/B094454Q6P?ref=ppx_yo2ov_dt_b_fed_asin_title" xr:uid="{00000000-0004-0000-0000-000006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1"/>
  <sheetViews>
    <sheetView topLeftCell="A50" zoomScaleNormal="100" workbookViewId="0">
      <selection activeCell="E59" sqref="E59"/>
    </sheetView>
  </sheetViews>
  <sheetFormatPr defaultColWidth="8.6640625" defaultRowHeight="14.4" x14ac:dyDescent="0.3"/>
  <cols>
    <col min="1" max="1" width="46" customWidth="1"/>
    <col min="2" max="2" width="16" customWidth="1"/>
    <col min="3" max="3" width="55" customWidth="1"/>
    <col min="4" max="5" width="16.6640625" bestFit="1" customWidth="1"/>
  </cols>
  <sheetData>
    <row r="1" spans="1:3" ht="17.25" customHeight="1" x14ac:dyDescent="0.35">
      <c r="A1" s="29" t="s">
        <v>118</v>
      </c>
    </row>
    <row r="2" spans="1:3" ht="14.25" customHeight="1" x14ac:dyDescent="0.3">
      <c r="A2" s="30" t="s">
        <v>119</v>
      </c>
    </row>
    <row r="4" spans="1:3" ht="14.25" customHeight="1" x14ac:dyDescent="0.3">
      <c r="A4" s="31" t="s">
        <v>120</v>
      </c>
    </row>
    <row r="5" spans="1:3" ht="14.25" customHeight="1" x14ac:dyDescent="0.3">
      <c r="A5" s="32" t="s">
        <v>3</v>
      </c>
      <c r="B5" s="32" t="s">
        <v>121</v>
      </c>
      <c r="C5" s="32" t="s">
        <v>6</v>
      </c>
    </row>
    <row r="6" spans="1:3" ht="14.25" customHeight="1" x14ac:dyDescent="0.3">
      <c r="A6" t="s">
        <v>122</v>
      </c>
      <c r="B6" s="33" t="s">
        <v>123</v>
      </c>
      <c r="C6" s="30" t="s">
        <v>124</v>
      </c>
    </row>
    <row r="7" spans="1:3" ht="14.25" customHeight="1" x14ac:dyDescent="0.3">
      <c r="A7" t="s">
        <v>125</v>
      </c>
      <c r="B7" s="33">
        <v>4</v>
      </c>
      <c r="C7" s="30" t="s">
        <v>126</v>
      </c>
    </row>
    <row r="8" spans="1:3" ht="14.25" customHeight="1" x14ac:dyDescent="0.3">
      <c r="A8" t="s">
        <v>127</v>
      </c>
      <c r="B8" s="33">
        <v>1</v>
      </c>
      <c r="C8" s="30" t="s">
        <v>128</v>
      </c>
    </row>
    <row r="10" spans="1:3" ht="14.25" customHeight="1" x14ac:dyDescent="0.3">
      <c r="A10" s="31" t="s">
        <v>129</v>
      </c>
    </row>
    <row r="11" spans="1:3" ht="14.25" customHeight="1" x14ac:dyDescent="0.3">
      <c r="A11" s="32" t="s">
        <v>3</v>
      </c>
      <c r="B11" s="32" t="s">
        <v>130</v>
      </c>
      <c r="C11" s="32" t="s">
        <v>6</v>
      </c>
    </row>
    <row r="12" spans="1:3" ht="14.25" customHeight="1" x14ac:dyDescent="0.3">
      <c r="A12" t="s">
        <v>131</v>
      </c>
      <c r="B12" s="34">
        <v>0.43</v>
      </c>
      <c r="C12" s="30" t="s">
        <v>132</v>
      </c>
    </row>
    <row r="13" spans="1:3" ht="14.25" customHeight="1" x14ac:dyDescent="0.3">
      <c r="A13" t="s">
        <v>133</v>
      </c>
      <c r="B13" s="34">
        <v>0.44</v>
      </c>
      <c r="C13" s="30" t="s">
        <v>134</v>
      </c>
    </row>
    <row r="14" spans="1:3" ht="14.25" customHeight="1" x14ac:dyDescent="0.3">
      <c r="A14" t="s">
        <v>135</v>
      </c>
      <c r="B14" s="34">
        <v>0.05</v>
      </c>
      <c r="C14" s="30" t="s">
        <v>136</v>
      </c>
    </row>
    <row r="15" spans="1:3" ht="14.25" customHeight="1" x14ac:dyDescent="0.3">
      <c r="A15" t="s">
        <v>137</v>
      </c>
      <c r="B15" s="35">
        <f>SUM(B12:B14)</f>
        <v>0.92</v>
      </c>
    </row>
    <row r="17" spans="1:3" ht="14.25" customHeight="1" x14ac:dyDescent="0.3">
      <c r="A17" t="s">
        <v>138</v>
      </c>
      <c r="B17" s="36">
        <f>B8</f>
        <v>1</v>
      </c>
    </row>
    <row r="18" spans="1:3" ht="14.25" customHeight="1" x14ac:dyDescent="0.3">
      <c r="A18" t="s">
        <v>139</v>
      </c>
      <c r="B18" s="35">
        <f>B15*B17</f>
        <v>0.92</v>
      </c>
    </row>
    <row r="20" spans="1:3" ht="14.25" customHeight="1" x14ac:dyDescent="0.3">
      <c r="A20" s="31" t="s">
        <v>140</v>
      </c>
      <c r="B20" s="37"/>
      <c r="C20" s="37"/>
    </row>
    <row r="21" spans="1:3" ht="14.25" customHeight="1" x14ac:dyDescent="0.3">
      <c r="A21" s="32" t="s">
        <v>141</v>
      </c>
      <c r="B21" s="38" t="s">
        <v>142</v>
      </c>
      <c r="C21" s="32" t="s">
        <v>6</v>
      </c>
    </row>
    <row r="22" spans="1:3" ht="54.75" customHeight="1" x14ac:dyDescent="0.3">
      <c r="A22" s="37" t="s">
        <v>143</v>
      </c>
      <c r="B22" s="34">
        <v>0.08</v>
      </c>
      <c r="C22" s="39" t="s">
        <v>144</v>
      </c>
    </row>
    <row r="23" spans="1:3" ht="41.25" customHeight="1" x14ac:dyDescent="0.3">
      <c r="A23" s="37" t="s">
        <v>145</v>
      </c>
      <c r="B23" s="34">
        <v>0.09</v>
      </c>
      <c r="C23" s="39" t="s">
        <v>146</v>
      </c>
    </row>
    <row r="24" spans="1:3" ht="54.75" customHeight="1" x14ac:dyDescent="0.3">
      <c r="A24" s="37" t="s">
        <v>147</v>
      </c>
      <c r="B24" s="34">
        <v>0.12</v>
      </c>
      <c r="C24" s="39" t="s">
        <v>148</v>
      </c>
    </row>
    <row r="25" spans="1:3" ht="14.25" customHeight="1" x14ac:dyDescent="0.3">
      <c r="A25" s="37" t="s">
        <v>149</v>
      </c>
      <c r="B25" s="34">
        <v>0.14000000000000001</v>
      </c>
      <c r="C25" s="39" t="s">
        <v>150</v>
      </c>
    </row>
    <row r="26" spans="1:3" ht="54.75" customHeight="1" x14ac:dyDescent="0.3">
      <c r="A26" s="37"/>
      <c r="B26" s="37"/>
      <c r="C26" s="37"/>
    </row>
    <row r="27" spans="1:3" ht="14.25" customHeight="1" x14ac:dyDescent="0.3">
      <c r="A27" s="37" t="s">
        <v>151</v>
      </c>
      <c r="B27" s="34" t="s">
        <v>143</v>
      </c>
      <c r="C27" s="39" t="s">
        <v>152</v>
      </c>
    </row>
    <row r="28" spans="1:3" x14ac:dyDescent="0.3">
      <c r="A28" s="3" t="s">
        <v>153</v>
      </c>
      <c r="B28" s="40">
        <f>INDEX(B22:B25,MATCH(B27,A22:A25,0))</f>
        <v>0.08</v>
      </c>
      <c r="C28" s="37"/>
    </row>
    <row r="29" spans="1:3" ht="14.25" customHeight="1" x14ac:dyDescent="0.3">
      <c r="A29" s="37"/>
      <c r="B29" s="41"/>
      <c r="C29" s="37"/>
    </row>
    <row r="30" spans="1:3" ht="14.25" customHeight="1" x14ac:dyDescent="0.3">
      <c r="A30" s="3" t="s">
        <v>154</v>
      </c>
      <c r="B30" s="40">
        <f>B18+B28</f>
        <v>1</v>
      </c>
      <c r="C30" s="37"/>
    </row>
    <row r="31" spans="1:3" x14ac:dyDescent="0.3">
      <c r="A31" s="37" t="s">
        <v>155</v>
      </c>
      <c r="B31" s="42">
        <f>B30/B7</f>
        <v>0.25</v>
      </c>
      <c r="C31" s="37"/>
    </row>
    <row r="32" spans="1:3" ht="14.25" customHeight="1" x14ac:dyDescent="0.3">
      <c r="A32" t="s">
        <v>156</v>
      </c>
    </row>
    <row r="33" spans="1:3" ht="14.25" customHeight="1" x14ac:dyDescent="0.3">
      <c r="A33" t="s">
        <v>3</v>
      </c>
      <c r="B33" t="s">
        <v>130</v>
      </c>
      <c r="C33" t="s">
        <v>6</v>
      </c>
    </row>
    <row r="34" spans="1:3" ht="54.75" customHeight="1" x14ac:dyDescent="0.3">
      <c r="A34" t="s">
        <v>157</v>
      </c>
      <c r="B34">
        <v>0.02</v>
      </c>
      <c r="C34" t="s">
        <v>158</v>
      </c>
    </row>
    <row r="35" spans="1:3" ht="27.75" customHeight="1" x14ac:dyDescent="0.3">
      <c r="A35" t="s">
        <v>159</v>
      </c>
      <c r="B35">
        <v>0.01</v>
      </c>
      <c r="C35" t="s">
        <v>160</v>
      </c>
    </row>
    <row r="36" spans="1:3" ht="27.75" customHeight="1" x14ac:dyDescent="0.3">
      <c r="A36" t="s">
        <v>161</v>
      </c>
      <c r="B36">
        <f>SUM(B34:B35)</f>
        <v>0.03</v>
      </c>
    </row>
    <row r="37" spans="1:3" ht="27.75" customHeight="1" x14ac:dyDescent="0.3">
      <c r="A37" s="3" t="s">
        <v>162</v>
      </c>
      <c r="B37" s="40">
        <f>B36+B30</f>
        <v>1.03</v>
      </c>
      <c r="C37" s="37"/>
    </row>
    <row r="38" spans="1:3" ht="28.5" customHeight="1" x14ac:dyDescent="0.3">
      <c r="A38" s="31" t="s">
        <v>163</v>
      </c>
      <c r="B38" s="37"/>
      <c r="C38" s="37"/>
    </row>
    <row r="39" spans="1:3" ht="27.75" customHeight="1" x14ac:dyDescent="0.3">
      <c r="A39" s="32" t="s">
        <v>164</v>
      </c>
      <c r="B39" s="38" t="s">
        <v>165</v>
      </c>
      <c r="C39" s="32" t="s">
        <v>6</v>
      </c>
    </row>
    <row r="40" spans="1:3" ht="14.25" customHeight="1" x14ac:dyDescent="0.3">
      <c r="A40" s="37" t="s">
        <v>166</v>
      </c>
      <c r="B40" s="34">
        <v>0.91</v>
      </c>
      <c r="C40" s="39" t="s">
        <v>167</v>
      </c>
    </row>
    <row r="41" spans="1:3" ht="14.25" customHeight="1" x14ac:dyDescent="0.3">
      <c r="A41" s="37" t="s">
        <v>168</v>
      </c>
      <c r="B41" s="34">
        <v>1.55</v>
      </c>
      <c r="C41" s="39" t="s">
        <v>169</v>
      </c>
    </row>
    <row r="42" spans="1:3" ht="14.25" customHeight="1" x14ac:dyDescent="0.3">
      <c r="A42" s="37" t="s">
        <v>170</v>
      </c>
      <c r="B42" s="34">
        <v>1.9</v>
      </c>
      <c r="C42" s="39" t="s">
        <v>171</v>
      </c>
    </row>
    <row r="43" spans="1:3" ht="14.25" customHeight="1" x14ac:dyDescent="0.3">
      <c r="A43" s="37" t="s">
        <v>172</v>
      </c>
      <c r="B43" s="34">
        <v>2.75</v>
      </c>
      <c r="C43" s="39" t="s">
        <v>173</v>
      </c>
    </row>
    <row r="44" spans="1:3" ht="54.75" customHeight="1" x14ac:dyDescent="0.3">
      <c r="A44" s="37" t="s">
        <v>174</v>
      </c>
      <c r="B44" s="34">
        <v>3.65</v>
      </c>
      <c r="C44" s="39" t="s">
        <v>175</v>
      </c>
    </row>
    <row r="45" spans="1:3" ht="45" customHeight="1" x14ac:dyDescent="0.3">
      <c r="A45" s="37" t="s">
        <v>176</v>
      </c>
      <c r="B45" s="34">
        <v>8.75</v>
      </c>
      <c r="C45" s="39" t="s">
        <v>177</v>
      </c>
    </row>
    <row r="46" spans="1:3" ht="14.25" customHeight="1" x14ac:dyDescent="0.3">
      <c r="A46" s="37"/>
      <c r="B46" s="37"/>
      <c r="C46" s="37"/>
    </row>
    <row r="47" spans="1:3" ht="81.75" customHeight="1" x14ac:dyDescent="0.3">
      <c r="A47" s="37" t="s">
        <v>178</v>
      </c>
      <c r="B47" s="34" t="s">
        <v>166</v>
      </c>
      <c r="C47" s="39" t="s">
        <v>179</v>
      </c>
    </row>
    <row r="48" spans="1:3" ht="14.25" customHeight="1" x14ac:dyDescent="0.3">
      <c r="A48" s="3" t="s">
        <v>180</v>
      </c>
      <c r="B48" s="40">
        <f>INDEX(B40:B45,MATCH(B47,A40:A45,0))</f>
        <v>0.91</v>
      </c>
      <c r="C48" s="37"/>
    </row>
    <row r="49" spans="1:5" x14ac:dyDescent="0.3">
      <c r="A49" s="37"/>
      <c r="B49" s="41"/>
      <c r="C49" s="37"/>
    </row>
    <row r="50" spans="1:5" ht="14.25" customHeight="1" x14ac:dyDescent="0.3">
      <c r="A50" s="31" t="s">
        <v>181</v>
      </c>
      <c r="B50" s="37"/>
      <c r="C50" s="37"/>
    </row>
    <row r="51" spans="1:5" ht="14.25" customHeight="1" x14ac:dyDescent="0.3">
      <c r="A51" s="32" t="s">
        <v>3</v>
      </c>
      <c r="B51" s="38" t="s">
        <v>121</v>
      </c>
      <c r="C51" s="32" t="s">
        <v>6</v>
      </c>
    </row>
    <row r="52" spans="1:5" ht="57" customHeight="1" x14ac:dyDescent="0.3">
      <c r="A52" s="37" t="s">
        <v>182</v>
      </c>
      <c r="B52" s="34">
        <v>15.89</v>
      </c>
      <c r="C52" s="39" t="s">
        <v>183</v>
      </c>
    </row>
    <row r="53" spans="1:5" ht="54.75" customHeight="1" x14ac:dyDescent="0.3">
      <c r="A53" s="37" t="s">
        <v>184</v>
      </c>
      <c r="B53" s="34">
        <v>25</v>
      </c>
      <c r="C53" s="37"/>
    </row>
    <row r="54" spans="1:5" x14ac:dyDescent="0.3">
      <c r="A54" s="3" t="s">
        <v>185</v>
      </c>
      <c r="B54" s="40">
        <f>B52/B53</f>
        <v>0.63560000000000005</v>
      </c>
      <c r="C54" s="37"/>
    </row>
    <row r="55" spans="1:5" ht="114.75" customHeight="1" x14ac:dyDescent="0.3">
      <c r="A55" s="37" t="s">
        <v>186</v>
      </c>
      <c r="B55" s="34">
        <v>3</v>
      </c>
      <c r="C55" s="39" t="s">
        <v>187</v>
      </c>
    </row>
    <row r="56" spans="1:5" ht="60" customHeight="1" x14ac:dyDescent="0.3">
      <c r="A56" s="3" t="s">
        <v>188</v>
      </c>
      <c r="B56">
        <f>B54/3</f>
        <v>0.21186666666666668</v>
      </c>
      <c r="D56" t="s">
        <v>208</v>
      </c>
      <c r="E56" t="s">
        <v>303</v>
      </c>
    </row>
    <row r="57" spans="1:5" x14ac:dyDescent="0.3">
      <c r="A57" s="37"/>
      <c r="B57" s="37"/>
      <c r="C57" s="37"/>
    </row>
    <row r="58" spans="1:5" x14ac:dyDescent="0.3">
      <c r="A58" s="3" t="s">
        <v>189</v>
      </c>
      <c r="B58" s="40">
        <f>B30+B48+B56+B36</f>
        <v>2.1518666666666668</v>
      </c>
      <c r="C58" s="37"/>
      <c r="D58" s="66">
        <f>B58-B12-B13+0.65</f>
        <v>1.9318666666666671</v>
      </c>
      <c r="E58" s="66">
        <f>B58-B12+0.48</f>
        <v>2.2018666666666666</v>
      </c>
    </row>
    <row r="59" spans="1:5" x14ac:dyDescent="0.3">
      <c r="A59" s="37" t="s">
        <v>190</v>
      </c>
      <c r="B59" s="42">
        <f>B58/B7</f>
        <v>0.5379666666666667</v>
      </c>
      <c r="C59" s="37"/>
    </row>
    <row r="60" spans="1:5" x14ac:dyDescent="0.3">
      <c r="A60" s="37"/>
      <c r="B60" s="37"/>
      <c r="C60" s="37"/>
    </row>
    <row r="61" spans="1:5" ht="186.75" customHeight="1" x14ac:dyDescent="0.3">
      <c r="A61" s="39" t="s">
        <v>191</v>
      </c>
    </row>
    <row r="63" spans="1:5" x14ac:dyDescent="0.3">
      <c r="A63" s="31" t="s">
        <v>192</v>
      </c>
    </row>
    <row r="64" spans="1:5" x14ac:dyDescent="0.3">
      <c r="A64" s="32" t="s">
        <v>3</v>
      </c>
      <c r="B64" s="32" t="s">
        <v>121</v>
      </c>
      <c r="C64" s="32" t="s">
        <v>6</v>
      </c>
    </row>
    <row r="65" spans="1:3" x14ac:dyDescent="0.3">
      <c r="A65" s="37" t="s">
        <v>193</v>
      </c>
      <c r="B65" s="43">
        <f>'Recurring Overhead'!B34</f>
        <v>6.7189999999999994</v>
      </c>
      <c r="C65" s="2" t="s">
        <v>194</v>
      </c>
    </row>
    <row r="66" spans="1:3" x14ac:dyDescent="0.3">
      <c r="A66" s="37" t="s">
        <v>195</v>
      </c>
      <c r="B66" s="41">
        <f>B65*B7</f>
        <v>26.875999999999998</v>
      </c>
    </row>
    <row r="68" spans="1:3" x14ac:dyDescent="0.3">
      <c r="A68" s="3" t="s">
        <v>196</v>
      </c>
      <c r="B68" s="40">
        <f>B58+B66</f>
        <v>29.027866666666664</v>
      </c>
    </row>
    <row r="69" spans="1:3" x14ac:dyDescent="0.3">
      <c r="A69" s="37" t="s">
        <v>197</v>
      </c>
      <c r="B69" s="42">
        <f>B68/B7</f>
        <v>7.2569666666666661</v>
      </c>
    </row>
    <row r="71" spans="1:3" x14ac:dyDescent="0.3">
      <c r="A71" s="70" t="s">
        <v>198</v>
      </c>
      <c r="B71" s="69"/>
      <c r="C71" s="69"/>
    </row>
  </sheetData>
  <mergeCells count="1">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4"/>
  <sheetViews>
    <sheetView zoomScaleNormal="100" workbookViewId="0">
      <selection activeCell="G9" sqref="G9"/>
    </sheetView>
  </sheetViews>
  <sheetFormatPr defaultColWidth="8.6640625" defaultRowHeight="14.4" x14ac:dyDescent="0.3"/>
  <cols>
    <col min="1" max="1" width="46" customWidth="1"/>
    <col min="2" max="2" width="18" customWidth="1"/>
    <col min="3" max="3" width="30" customWidth="1"/>
    <col min="4" max="4" width="55" customWidth="1"/>
  </cols>
  <sheetData>
    <row r="1" spans="1:5" ht="17.399999999999999" customHeight="1" x14ac:dyDescent="0.3">
      <c r="A1" s="4" t="s">
        <v>0</v>
      </c>
    </row>
    <row r="2" spans="1:5" x14ac:dyDescent="0.3">
      <c r="A2" s="68" t="s">
        <v>1</v>
      </c>
      <c r="B2" s="69"/>
      <c r="C2" s="69"/>
      <c r="D2" s="69"/>
    </row>
    <row r="4" spans="1:5" x14ac:dyDescent="0.3">
      <c r="A4" s="12" t="s">
        <v>2</v>
      </c>
    </row>
    <row r="5" spans="1:5" x14ac:dyDescent="0.3">
      <c r="A5" s="16" t="s">
        <v>3</v>
      </c>
      <c r="B5" s="16" t="s">
        <v>4</v>
      </c>
      <c r="C5" s="16" t="s">
        <v>5</v>
      </c>
      <c r="D5" s="16" t="s">
        <v>6</v>
      </c>
      <c r="E5" s="16" t="s">
        <v>199</v>
      </c>
    </row>
    <row r="6" spans="1:5" ht="16.8" customHeight="1" x14ac:dyDescent="0.3">
      <c r="A6" s="52" t="s">
        <v>7</v>
      </c>
      <c r="B6" s="18">
        <v>8.9</v>
      </c>
      <c r="C6" s="17" t="s">
        <v>8</v>
      </c>
      <c r="D6" s="1" t="s">
        <v>9</v>
      </c>
      <c r="E6">
        <f>B6*6</f>
        <v>53.400000000000006</v>
      </c>
    </row>
    <row r="7" spans="1:5" x14ac:dyDescent="0.3">
      <c r="A7" s="53" t="s">
        <v>10</v>
      </c>
      <c r="B7" s="18">
        <v>14.09</v>
      </c>
      <c r="C7" s="17" t="s">
        <v>8</v>
      </c>
      <c r="D7" s="1" t="s">
        <v>11</v>
      </c>
      <c r="E7">
        <f>B7*6</f>
        <v>84.539999999999992</v>
      </c>
    </row>
    <row r="8" spans="1:5" x14ac:dyDescent="0.3">
      <c r="A8" s="17" t="s">
        <v>12</v>
      </c>
      <c r="B8" s="18">
        <v>32.4</v>
      </c>
      <c r="C8" s="17" t="s">
        <v>13</v>
      </c>
      <c r="D8" s="1" t="s">
        <v>14</v>
      </c>
      <c r="E8">
        <f>B8*12</f>
        <v>388.79999999999995</v>
      </c>
    </row>
    <row r="9" spans="1:5" x14ac:dyDescent="0.3">
      <c r="A9" s="17" t="s">
        <v>305</v>
      </c>
      <c r="B9" s="18"/>
      <c r="C9" s="17"/>
      <c r="D9" s="1"/>
      <c r="E9">
        <v>30</v>
      </c>
    </row>
    <row r="10" spans="1:5" x14ac:dyDescent="0.3">
      <c r="A10" s="17" t="s">
        <v>304</v>
      </c>
      <c r="B10" s="18">
        <v>11.8</v>
      </c>
      <c r="C10" s="17"/>
      <c r="D10" s="1"/>
      <c r="E10">
        <f>B10*12</f>
        <v>141.60000000000002</v>
      </c>
    </row>
    <row r="11" spans="1:5" x14ac:dyDescent="0.3">
      <c r="A11" s="17" t="s">
        <v>15</v>
      </c>
      <c r="B11" s="18">
        <v>0</v>
      </c>
      <c r="C11" s="17" t="s">
        <v>13</v>
      </c>
      <c r="D11" s="1" t="s">
        <v>16</v>
      </c>
    </row>
    <row r="12" spans="1:5" x14ac:dyDescent="0.3">
      <c r="A12" s="19" t="s">
        <v>17</v>
      </c>
      <c r="B12" s="20">
        <f>SUM(B6:B11)</f>
        <v>67.19</v>
      </c>
      <c r="E12">
        <f>SUM(E6:E11)</f>
        <v>698.34</v>
      </c>
    </row>
    <row r="14" spans="1:5" x14ac:dyDescent="0.3">
      <c r="A14" s="12" t="s">
        <v>18</v>
      </c>
    </row>
    <row r="15" spans="1:5" x14ac:dyDescent="0.3">
      <c r="A15" s="68" t="s">
        <v>19</v>
      </c>
      <c r="B15" s="69"/>
      <c r="C15" s="69"/>
      <c r="D15" s="69"/>
    </row>
    <row r="17" spans="1:4" x14ac:dyDescent="0.3">
      <c r="A17" s="16" t="s">
        <v>20</v>
      </c>
      <c r="B17" s="16" t="s">
        <v>21</v>
      </c>
      <c r="C17" s="16" t="s">
        <v>22</v>
      </c>
      <c r="D17" s="16" t="s">
        <v>23</v>
      </c>
    </row>
    <row r="18" spans="1:4" x14ac:dyDescent="0.3">
      <c r="A18" s="17" t="s">
        <v>24</v>
      </c>
      <c r="B18" s="44">
        <v>10</v>
      </c>
      <c r="C18" s="17" t="s">
        <v>25</v>
      </c>
      <c r="D18" s="1" t="s">
        <v>26</v>
      </c>
    </row>
    <row r="19" spans="1:4" x14ac:dyDescent="0.3">
      <c r="A19" s="17" t="s">
        <v>27</v>
      </c>
      <c r="B19" s="44">
        <v>40</v>
      </c>
      <c r="C19" s="17" t="s">
        <v>28</v>
      </c>
      <c r="D19" s="1" t="s">
        <v>29</v>
      </c>
    </row>
    <row r="20" spans="1:4" x14ac:dyDescent="0.3">
      <c r="A20" s="17" t="s">
        <v>30</v>
      </c>
      <c r="B20" s="45">
        <f>B22</f>
        <v>1</v>
      </c>
      <c r="C20" s="17" t="s">
        <v>31</v>
      </c>
      <c r="D20" s="1" t="s">
        <v>32</v>
      </c>
    </row>
    <row r="22" spans="1:4" x14ac:dyDescent="0.3">
      <c r="A22" s="17" t="s">
        <v>33</v>
      </c>
      <c r="B22" s="46">
        <v>1</v>
      </c>
      <c r="D22" s="1" t="s">
        <v>34</v>
      </c>
    </row>
    <row r="23" spans="1:4" x14ac:dyDescent="0.3">
      <c r="A23" s="17" t="s">
        <v>35</v>
      </c>
      <c r="B23" s="45">
        <f>IFERROR(B22*4.33/(45/60)*20,0)</f>
        <v>115.46666666666667</v>
      </c>
      <c r="D23" s="1" t="s">
        <v>36</v>
      </c>
    </row>
    <row r="25" spans="1:4" x14ac:dyDescent="0.3">
      <c r="A25" s="12" t="s">
        <v>37</v>
      </c>
    </row>
    <row r="26" spans="1:4" x14ac:dyDescent="0.3">
      <c r="A26" s="16" t="s">
        <v>20</v>
      </c>
      <c r="B26" s="16" t="s">
        <v>38</v>
      </c>
    </row>
    <row r="27" spans="1:4" x14ac:dyDescent="0.3">
      <c r="A27" s="17" t="s">
        <v>24</v>
      </c>
      <c r="B27" s="27">
        <f>IFERROR($B$12/B18,0)</f>
        <v>6.7189999999999994</v>
      </c>
    </row>
    <row r="28" spans="1:4" x14ac:dyDescent="0.3">
      <c r="A28" s="17" t="s">
        <v>27</v>
      </c>
      <c r="B28" s="27">
        <f>IFERROR($B$12/B19,0)</f>
        <v>1.6797499999999999</v>
      </c>
    </row>
    <row r="29" spans="1:4" x14ac:dyDescent="0.3">
      <c r="A29" s="17" t="s">
        <v>30</v>
      </c>
      <c r="B29" s="27">
        <f>IFERROR($B$12/B20,0)</f>
        <v>67.19</v>
      </c>
    </row>
    <row r="31" spans="1:4" x14ac:dyDescent="0.3">
      <c r="A31" s="12" t="s">
        <v>39</v>
      </c>
    </row>
    <row r="32" spans="1:4" x14ac:dyDescent="0.3">
      <c r="A32" s="17" t="s">
        <v>40</v>
      </c>
      <c r="B32" s="47" t="s">
        <v>24</v>
      </c>
      <c r="D32" s="1" t="s">
        <v>41</v>
      </c>
    </row>
    <row r="33" spans="1:2" x14ac:dyDescent="0.3">
      <c r="A33" s="17" t="s">
        <v>42</v>
      </c>
      <c r="B33" s="45">
        <f>INDEX(B18:B20,MATCH(B32,A18:A20,0))</f>
        <v>10</v>
      </c>
    </row>
    <row r="34" spans="1:2" x14ac:dyDescent="0.3">
      <c r="A34" s="19" t="s">
        <v>43</v>
      </c>
      <c r="B34" s="20">
        <f>IFERROR($B$12/B33,0)</f>
        <v>6.7189999999999994</v>
      </c>
    </row>
  </sheetData>
  <mergeCells count="2">
    <mergeCell ref="A15:D15"/>
    <mergeCell ref="A2:D2"/>
  </mergeCells>
  <dataValidations count="1">
    <dataValidation type="list" sqref="B32"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EB3B2-BEC6-4259-8327-12EE41C40AEF}">
  <dimension ref="A1:M22"/>
  <sheetViews>
    <sheetView workbookViewId="0">
      <selection activeCell="B12" sqref="B12:E12"/>
    </sheetView>
  </sheetViews>
  <sheetFormatPr defaultRowHeight="14.4" x14ac:dyDescent="0.3"/>
  <cols>
    <col min="1" max="1" width="9.6640625" bestFit="1" customWidth="1"/>
    <col min="5" max="5" width="12.109375" bestFit="1" customWidth="1"/>
    <col min="9" max="9" width="9.6640625" bestFit="1" customWidth="1"/>
  </cols>
  <sheetData>
    <row r="1" spans="1:13" x14ac:dyDescent="0.3">
      <c r="A1" t="s">
        <v>200</v>
      </c>
      <c r="B1" t="s">
        <v>84</v>
      </c>
      <c r="C1" t="s">
        <v>201</v>
      </c>
      <c r="D1" t="s">
        <v>202</v>
      </c>
      <c r="E1" t="s">
        <v>203</v>
      </c>
      <c r="I1" t="s">
        <v>209</v>
      </c>
      <c r="J1" t="s">
        <v>84</v>
      </c>
      <c r="K1" t="s">
        <v>209</v>
      </c>
      <c r="L1" t="s">
        <v>210</v>
      </c>
      <c r="M1" t="s">
        <v>211</v>
      </c>
    </row>
    <row r="2" spans="1:13" x14ac:dyDescent="0.3">
      <c r="A2" t="s">
        <v>204</v>
      </c>
      <c r="I2" t="s">
        <v>204</v>
      </c>
    </row>
    <row r="3" spans="1:13" x14ac:dyDescent="0.3">
      <c r="A3" t="s">
        <v>205</v>
      </c>
      <c r="B3">
        <v>10</v>
      </c>
      <c r="C3">
        <v>6.5</v>
      </c>
      <c r="E3">
        <f>C3/B3</f>
        <v>0.65</v>
      </c>
      <c r="I3" t="s">
        <v>205</v>
      </c>
      <c r="J3">
        <v>25</v>
      </c>
      <c r="K3">
        <f>C4+C14</f>
        <v>25.9</v>
      </c>
      <c r="L3">
        <f>K3/J3</f>
        <v>1.036</v>
      </c>
    </row>
    <row r="4" spans="1:13" x14ac:dyDescent="0.3">
      <c r="A4" t="s">
        <v>205</v>
      </c>
      <c r="B4">
        <v>25</v>
      </c>
      <c r="C4">
        <v>13.25</v>
      </c>
      <c r="E4">
        <f t="shared" ref="E4:E22" si="0">C4/B4</f>
        <v>0.53</v>
      </c>
      <c r="I4" t="s">
        <v>205</v>
      </c>
      <c r="J4">
        <v>50</v>
      </c>
      <c r="K4">
        <f>C5+C15</f>
        <v>46.15</v>
      </c>
      <c r="L4">
        <f t="shared" ref="L4:L12" si="1">K4/J4</f>
        <v>0.92299999999999993</v>
      </c>
      <c r="M4">
        <f>L3-L4</f>
        <v>0.1130000000000001</v>
      </c>
    </row>
    <row r="5" spans="1:13" x14ac:dyDescent="0.3">
      <c r="A5" t="s">
        <v>205</v>
      </c>
      <c r="B5">
        <v>50</v>
      </c>
      <c r="C5">
        <v>22.5</v>
      </c>
      <c r="E5">
        <f t="shared" si="0"/>
        <v>0.45</v>
      </c>
      <c r="I5" t="s">
        <v>205</v>
      </c>
      <c r="J5">
        <v>100</v>
      </c>
      <c r="K5">
        <f>C6+C16</f>
        <v>87</v>
      </c>
      <c r="L5" s="54">
        <f t="shared" si="1"/>
        <v>0.87</v>
      </c>
      <c r="M5">
        <f t="shared" ref="M5:M12" si="2">L4-L5</f>
        <v>5.2999999999999936E-2</v>
      </c>
    </row>
    <row r="6" spans="1:13" x14ac:dyDescent="0.3">
      <c r="A6" t="s">
        <v>205</v>
      </c>
      <c r="B6">
        <v>100</v>
      </c>
      <c r="C6">
        <v>43</v>
      </c>
      <c r="E6">
        <f t="shared" si="0"/>
        <v>0.43</v>
      </c>
      <c r="I6" t="s">
        <v>205</v>
      </c>
      <c r="J6">
        <v>200</v>
      </c>
      <c r="K6">
        <f>C7+C17</f>
        <v>165.5</v>
      </c>
      <c r="L6">
        <f>K6/J6</f>
        <v>0.82750000000000001</v>
      </c>
      <c r="M6">
        <f t="shared" si="2"/>
        <v>4.2499999999999982E-2</v>
      </c>
    </row>
    <row r="7" spans="1:13" x14ac:dyDescent="0.3">
      <c r="A7" t="s">
        <v>205</v>
      </c>
      <c r="B7">
        <v>200</v>
      </c>
      <c r="C7">
        <v>80</v>
      </c>
      <c r="E7">
        <f t="shared" si="0"/>
        <v>0.4</v>
      </c>
      <c r="I7" t="s">
        <v>205</v>
      </c>
      <c r="J7">
        <v>500</v>
      </c>
      <c r="K7">
        <f>C8+C18</f>
        <v>384</v>
      </c>
      <c r="L7">
        <f t="shared" si="1"/>
        <v>0.76800000000000002</v>
      </c>
      <c r="M7">
        <f t="shared" si="2"/>
        <v>5.9499999999999997E-2</v>
      </c>
    </row>
    <row r="8" spans="1:13" x14ac:dyDescent="0.3">
      <c r="A8" t="s">
        <v>205</v>
      </c>
      <c r="B8">
        <v>500</v>
      </c>
      <c r="C8">
        <v>175</v>
      </c>
      <c r="E8">
        <f t="shared" si="0"/>
        <v>0.35</v>
      </c>
      <c r="I8" t="s">
        <v>206</v>
      </c>
      <c r="J8">
        <v>25</v>
      </c>
      <c r="K8">
        <f>C10+C14</f>
        <v>28.9</v>
      </c>
      <c r="L8">
        <f>K8/J8</f>
        <v>1.1559999999999999</v>
      </c>
      <c r="M8">
        <f t="shared" si="2"/>
        <v>-0.3879999999999999</v>
      </c>
    </row>
    <row r="9" spans="1:13" x14ac:dyDescent="0.3">
      <c r="A9" t="s">
        <v>206</v>
      </c>
      <c r="B9">
        <v>10</v>
      </c>
      <c r="C9">
        <v>7.5</v>
      </c>
      <c r="E9">
        <f t="shared" si="0"/>
        <v>0.75</v>
      </c>
      <c r="I9" t="s">
        <v>206</v>
      </c>
      <c r="J9">
        <v>50</v>
      </c>
      <c r="K9">
        <f>C11+C15</f>
        <v>51.15</v>
      </c>
      <c r="L9">
        <f>K9/J9</f>
        <v>1.0229999999999999</v>
      </c>
      <c r="M9">
        <f t="shared" si="2"/>
        <v>0.13300000000000001</v>
      </c>
    </row>
    <row r="10" spans="1:13" x14ac:dyDescent="0.3">
      <c r="B10">
        <v>25</v>
      </c>
      <c r="C10">
        <v>16.25</v>
      </c>
      <c r="E10">
        <f t="shared" si="0"/>
        <v>0.65</v>
      </c>
      <c r="I10" t="s">
        <v>206</v>
      </c>
      <c r="J10">
        <v>100</v>
      </c>
      <c r="K10">
        <f>C12+C16</f>
        <v>92</v>
      </c>
      <c r="L10" s="54">
        <f>K10/J10</f>
        <v>0.92</v>
      </c>
      <c r="M10">
        <f t="shared" si="2"/>
        <v>0.10299999999999987</v>
      </c>
    </row>
    <row r="11" spans="1:13" x14ac:dyDescent="0.3">
      <c r="B11">
        <v>50</v>
      </c>
      <c r="C11">
        <v>27.5</v>
      </c>
      <c r="E11">
        <f t="shared" si="0"/>
        <v>0.55000000000000004</v>
      </c>
      <c r="I11" t="s">
        <v>206</v>
      </c>
      <c r="J11">
        <v>200</v>
      </c>
      <c r="K11">
        <f>2*C12+C17</f>
        <v>181.5</v>
      </c>
      <c r="L11">
        <f>K11/J11</f>
        <v>0.90749999999999997</v>
      </c>
      <c r="M11">
        <f t="shared" si="2"/>
        <v>1.2500000000000067E-2</v>
      </c>
    </row>
    <row r="12" spans="1:13" x14ac:dyDescent="0.3">
      <c r="B12">
        <v>100</v>
      </c>
      <c r="C12">
        <v>48</v>
      </c>
      <c r="E12">
        <f t="shared" si="0"/>
        <v>0.48</v>
      </c>
      <c r="I12" t="s">
        <v>206</v>
      </c>
      <c r="J12">
        <v>500</v>
      </c>
      <c r="K12">
        <f>5*C12+C18</f>
        <v>449</v>
      </c>
      <c r="L12">
        <f t="shared" si="1"/>
        <v>0.89800000000000002</v>
      </c>
      <c r="M12">
        <f t="shared" si="2"/>
        <v>9.4999999999999529E-3</v>
      </c>
    </row>
    <row r="13" spans="1:13" x14ac:dyDescent="0.3">
      <c r="A13" t="s">
        <v>207</v>
      </c>
      <c r="B13">
        <v>10</v>
      </c>
      <c r="C13">
        <v>5.5</v>
      </c>
      <c r="E13">
        <f t="shared" si="0"/>
        <v>0.55000000000000004</v>
      </c>
      <c r="I13" t="s">
        <v>208</v>
      </c>
      <c r="J13">
        <v>20</v>
      </c>
      <c r="K13">
        <f>C20+C22</f>
        <v>13</v>
      </c>
      <c r="L13">
        <f>K13/J13</f>
        <v>0.65</v>
      </c>
    </row>
    <row r="14" spans="1:13" x14ac:dyDescent="0.3">
      <c r="B14">
        <v>25</v>
      </c>
      <c r="C14">
        <v>12.65</v>
      </c>
      <c r="E14">
        <f t="shared" si="0"/>
        <v>0.50600000000000001</v>
      </c>
      <c r="I14" t="s">
        <v>208</v>
      </c>
      <c r="J14">
        <v>60</v>
      </c>
      <c r="K14">
        <f>K13*3</f>
        <v>39</v>
      </c>
      <c r="L14">
        <f>K14/J14</f>
        <v>0.65</v>
      </c>
    </row>
    <row r="15" spans="1:13" x14ac:dyDescent="0.3">
      <c r="B15">
        <v>50</v>
      </c>
      <c r="C15">
        <v>23.65</v>
      </c>
      <c r="E15">
        <f t="shared" si="0"/>
        <v>0.47299999999999998</v>
      </c>
      <c r="I15" t="s">
        <v>208</v>
      </c>
      <c r="J15">
        <v>100</v>
      </c>
      <c r="K15">
        <f>K13*5</f>
        <v>65</v>
      </c>
      <c r="L15" s="54">
        <f>K15/J15</f>
        <v>0.65</v>
      </c>
    </row>
    <row r="16" spans="1:13" x14ac:dyDescent="0.3">
      <c r="B16">
        <v>100</v>
      </c>
      <c r="C16">
        <v>44</v>
      </c>
      <c r="E16">
        <f t="shared" si="0"/>
        <v>0.44</v>
      </c>
    </row>
    <row r="17" spans="1:5" x14ac:dyDescent="0.3">
      <c r="B17">
        <v>200</v>
      </c>
      <c r="C17">
        <v>85.5</v>
      </c>
      <c r="E17">
        <f t="shared" si="0"/>
        <v>0.42749999999999999</v>
      </c>
    </row>
    <row r="18" spans="1:5" x14ac:dyDescent="0.3">
      <c r="B18">
        <v>500</v>
      </c>
      <c r="C18">
        <v>209</v>
      </c>
      <c r="E18">
        <f t="shared" si="0"/>
        <v>0.41799999999999998</v>
      </c>
    </row>
    <row r="19" spans="1:5" x14ac:dyDescent="0.3">
      <c r="A19" t="s">
        <v>208</v>
      </c>
    </row>
    <row r="20" spans="1:5" x14ac:dyDescent="0.3">
      <c r="A20" t="s">
        <v>205</v>
      </c>
      <c r="B20">
        <v>20</v>
      </c>
      <c r="C20">
        <v>6.5</v>
      </c>
      <c r="E20">
        <f t="shared" si="0"/>
        <v>0.32500000000000001</v>
      </c>
    </row>
    <row r="21" spans="1:5" x14ac:dyDescent="0.3">
      <c r="A21" t="s">
        <v>206</v>
      </c>
      <c r="B21">
        <v>20</v>
      </c>
      <c r="C21">
        <v>6.5</v>
      </c>
      <c r="E21">
        <f t="shared" si="0"/>
        <v>0.32500000000000001</v>
      </c>
    </row>
    <row r="22" spans="1:5" x14ac:dyDescent="0.3">
      <c r="A22" t="s">
        <v>207</v>
      </c>
      <c r="B22">
        <v>20</v>
      </c>
      <c r="C22">
        <v>6.5</v>
      </c>
      <c r="E22">
        <f t="shared" si="0"/>
        <v>0.32500000000000001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F47D8-BBF7-4C16-BA97-853C39F2E503}">
  <dimension ref="A1:D24"/>
  <sheetViews>
    <sheetView workbookViewId="0">
      <selection activeCell="D12" sqref="D12"/>
    </sheetView>
  </sheetViews>
  <sheetFormatPr defaultRowHeight="14.4" x14ac:dyDescent="0.3"/>
  <cols>
    <col min="1" max="1" width="77.21875" customWidth="1"/>
  </cols>
  <sheetData>
    <row r="1" spans="1:4" x14ac:dyDescent="0.3">
      <c r="A1" s="55" t="s">
        <v>212</v>
      </c>
    </row>
    <row r="2" spans="1:4" x14ac:dyDescent="0.3">
      <c r="A2" s="56" t="s">
        <v>213</v>
      </c>
    </row>
    <row r="4" spans="1:4" x14ac:dyDescent="0.3">
      <c r="A4" s="57" t="s">
        <v>3</v>
      </c>
      <c r="B4" s="57" t="s">
        <v>121</v>
      </c>
      <c r="C4" s="57" t="s">
        <v>6</v>
      </c>
    </row>
    <row r="5" spans="1:4" x14ac:dyDescent="0.3">
      <c r="A5" s="58" t="s">
        <v>214</v>
      </c>
      <c r="B5" s="59">
        <v>3</v>
      </c>
      <c r="C5" s="56" t="s">
        <v>215</v>
      </c>
    </row>
    <row r="6" spans="1:4" x14ac:dyDescent="0.3">
      <c r="A6" s="58" t="s">
        <v>216</v>
      </c>
      <c r="B6" s="60">
        <v>0.04</v>
      </c>
      <c r="C6" s="56" t="s">
        <v>217</v>
      </c>
    </row>
    <row r="7" spans="1:4" x14ac:dyDescent="0.3">
      <c r="A7" s="58" t="s">
        <v>218</v>
      </c>
      <c r="B7" s="60">
        <v>0.128</v>
      </c>
      <c r="C7" s="56" t="s">
        <v>219</v>
      </c>
    </row>
    <row r="8" spans="1:4" x14ac:dyDescent="0.3">
      <c r="A8" s="58" t="s">
        <v>220</v>
      </c>
      <c r="B8" s="59">
        <v>0.3</v>
      </c>
      <c r="C8" s="56" t="s">
        <v>221</v>
      </c>
    </row>
    <row r="9" spans="1:4" x14ac:dyDescent="0.3">
      <c r="A9" s="58" t="s">
        <v>222</v>
      </c>
      <c r="B9" s="60">
        <v>4.0000000000000001E-3</v>
      </c>
      <c r="C9" s="56" t="s">
        <v>223</v>
      </c>
    </row>
    <row r="11" spans="1:4" x14ac:dyDescent="0.3">
      <c r="A11" s="55" t="s">
        <v>224</v>
      </c>
      <c r="D11">
        <v>3.9</v>
      </c>
    </row>
    <row r="12" spans="1:4" x14ac:dyDescent="0.3">
      <c r="A12" s="58" t="s">
        <v>225</v>
      </c>
      <c r="B12" s="61">
        <v>0.12</v>
      </c>
      <c r="C12">
        <f>B6*B5</f>
        <v>0.12</v>
      </c>
      <c r="D12">
        <f>B6*D11</f>
        <v>0.156</v>
      </c>
    </row>
    <row r="13" spans="1:4" x14ac:dyDescent="0.3">
      <c r="A13" s="58" t="s">
        <v>226</v>
      </c>
      <c r="B13" s="61">
        <v>0.38400000000000001</v>
      </c>
      <c r="C13">
        <f>B7*B5</f>
        <v>0.38400000000000001</v>
      </c>
      <c r="D13">
        <f>B7*D11</f>
        <v>0.49919999999999998</v>
      </c>
    </row>
    <row r="14" spans="1:4" x14ac:dyDescent="0.3">
      <c r="A14" s="58" t="s">
        <v>227</v>
      </c>
      <c r="B14" s="61">
        <v>1.2E-2</v>
      </c>
      <c r="C14">
        <f>B9*B5</f>
        <v>1.2E-2</v>
      </c>
      <c r="D14">
        <f>B9*D11</f>
        <v>1.5599999999999999E-2</v>
      </c>
    </row>
    <row r="15" spans="1:4" x14ac:dyDescent="0.3">
      <c r="A15" s="58" t="s">
        <v>228</v>
      </c>
      <c r="B15" s="61">
        <v>0.81599999999999995</v>
      </c>
      <c r="C15" s="67">
        <f>SUM(C12:C14)+B8</f>
        <v>0.81600000000000006</v>
      </c>
      <c r="D15" s="67">
        <f>SUM(D12:D14)+B8</f>
        <v>0.97079999999999989</v>
      </c>
    </row>
    <row r="16" spans="1:4" x14ac:dyDescent="0.3">
      <c r="A16" s="58" t="s">
        <v>229</v>
      </c>
      <c r="B16" s="61">
        <v>2.1840000000000002</v>
      </c>
      <c r="C16" s="67">
        <f>B5-C15</f>
        <v>2.1840000000000002</v>
      </c>
      <c r="D16" s="67">
        <f>D11-D15</f>
        <v>2.9291999999999998</v>
      </c>
    </row>
    <row r="17" spans="1:2" x14ac:dyDescent="0.3">
      <c r="A17" s="58" t="s">
        <v>230</v>
      </c>
      <c r="B17" s="62">
        <v>0.27200000000000002</v>
      </c>
    </row>
    <row r="19" spans="1:2" x14ac:dyDescent="0.3">
      <c r="A19" s="55" t="s">
        <v>231</v>
      </c>
    </row>
    <row r="20" spans="1:2" x14ac:dyDescent="0.3">
      <c r="A20" s="58" t="s">
        <v>232</v>
      </c>
      <c r="B20" s="63">
        <v>10</v>
      </c>
    </row>
    <row r="21" spans="1:2" x14ac:dyDescent="0.3">
      <c r="A21" s="58" t="s">
        <v>233</v>
      </c>
      <c r="B21" s="61">
        <v>1.2</v>
      </c>
    </row>
    <row r="22" spans="1:2" x14ac:dyDescent="0.3">
      <c r="A22" s="58" t="s">
        <v>234</v>
      </c>
      <c r="B22" s="61">
        <v>8.16</v>
      </c>
    </row>
    <row r="24" spans="1:2" x14ac:dyDescent="0.3">
      <c r="A24" s="56" t="s">
        <v>235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0FD39-E305-4676-A93E-6B2FD6FBE931}">
  <dimension ref="A1:C33"/>
  <sheetViews>
    <sheetView topLeftCell="A6" workbookViewId="0">
      <selection activeCell="H17" sqref="H17"/>
    </sheetView>
  </sheetViews>
  <sheetFormatPr defaultRowHeight="14.4" x14ac:dyDescent="0.3"/>
  <cols>
    <col min="1" max="1" width="48.44140625" customWidth="1"/>
  </cols>
  <sheetData>
    <row r="1" spans="1:3" ht="17.399999999999999" x14ac:dyDescent="0.3">
      <c r="A1" s="64" t="s">
        <v>236</v>
      </c>
    </row>
    <row r="2" spans="1:3" x14ac:dyDescent="0.3">
      <c r="A2" s="56" t="s">
        <v>237</v>
      </c>
    </row>
    <row r="4" spans="1:3" x14ac:dyDescent="0.3">
      <c r="A4" s="55" t="s">
        <v>238</v>
      </c>
    </row>
    <row r="5" spans="1:3" x14ac:dyDescent="0.3">
      <c r="A5" s="57" t="s">
        <v>3</v>
      </c>
      <c r="B5" s="57" t="s">
        <v>121</v>
      </c>
      <c r="C5" s="57" t="s">
        <v>6</v>
      </c>
    </row>
    <row r="6" spans="1:3" x14ac:dyDescent="0.3">
      <c r="A6" s="58" t="s">
        <v>239</v>
      </c>
      <c r="B6" s="59">
        <v>3</v>
      </c>
      <c r="C6" s="56" t="s">
        <v>240</v>
      </c>
    </row>
    <row r="7" spans="1:3" x14ac:dyDescent="0.3">
      <c r="A7" s="58" t="s">
        <v>241</v>
      </c>
      <c r="B7" s="59">
        <v>0.16</v>
      </c>
      <c r="C7" s="56" t="s">
        <v>242</v>
      </c>
    </row>
    <row r="8" spans="1:3" x14ac:dyDescent="0.3">
      <c r="A8" s="58" t="s">
        <v>243</v>
      </c>
      <c r="B8" s="60">
        <v>6.5000000000000002E-2</v>
      </c>
      <c r="C8" s="56" t="s">
        <v>244</v>
      </c>
    </row>
    <row r="9" spans="1:3" x14ac:dyDescent="0.3">
      <c r="A9" s="58" t="s">
        <v>245</v>
      </c>
      <c r="B9" s="60">
        <v>0.04</v>
      </c>
      <c r="C9" s="56" t="s">
        <v>246</v>
      </c>
    </row>
    <row r="10" spans="1:3" x14ac:dyDescent="0.3">
      <c r="A10" s="58" t="s">
        <v>247</v>
      </c>
      <c r="B10" s="59">
        <v>0.2</v>
      </c>
    </row>
    <row r="11" spans="1:3" x14ac:dyDescent="0.3">
      <c r="A11" s="58" t="s">
        <v>248</v>
      </c>
      <c r="B11" s="60">
        <v>3.2000000000000002E-3</v>
      </c>
      <c r="C11" s="56" t="s">
        <v>249</v>
      </c>
    </row>
    <row r="12" spans="1:3" x14ac:dyDescent="0.3">
      <c r="A12" s="58" t="s">
        <v>250</v>
      </c>
      <c r="B12" s="60">
        <v>0.2</v>
      </c>
      <c r="C12" s="56" t="s">
        <v>251</v>
      </c>
    </row>
    <row r="13" spans="1:3" x14ac:dyDescent="0.3">
      <c r="A13" s="58" t="s">
        <v>252</v>
      </c>
      <c r="B13" s="65" t="s">
        <v>253</v>
      </c>
      <c r="C13" s="56" t="s">
        <v>254</v>
      </c>
    </row>
    <row r="14" spans="1:3" x14ac:dyDescent="0.3">
      <c r="A14" s="58" t="s">
        <v>255</v>
      </c>
      <c r="B14" s="60">
        <v>0.15</v>
      </c>
      <c r="C14" s="56" t="s">
        <v>256</v>
      </c>
    </row>
    <row r="15" spans="1:3" x14ac:dyDescent="0.3">
      <c r="A15" s="58" t="s">
        <v>257</v>
      </c>
      <c r="B15" s="59">
        <v>1</v>
      </c>
      <c r="C15" s="56" t="s">
        <v>258</v>
      </c>
    </row>
    <row r="17" spans="1:3" x14ac:dyDescent="0.3">
      <c r="A17" s="55" t="s">
        <v>259</v>
      </c>
    </row>
    <row r="18" spans="1:3" x14ac:dyDescent="0.3">
      <c r="A18" s="58" t="s">
        <v>260</v>
      </c>
      <c r="B18" s="61">
        <v>0.19500000000000001</v>
      </c>
    </row>
    <row r="19" spans="1:3" x14ac:dyDescent="0.3">
      <c r="A19" s="58" t="s">
        <v>261</v>
      </c>
      <c r="B19" s="61">
        <v>0.32</v>
      </c>
    </row>
    <row r="20" spans="1:3" x14ac:dyDescent="0.3">
      <c r="A20" s="58" t="s">
        <v>262</v>
      </c>
      <c r="B20" s="61">
        <v>9.5999999999999992E-3</v>
      </c>
    </row>
    <row r="21" spans="1:3" x14ac:dyDescent="0.3">
      <c r="A21" s="58" t="s">
        <v>263</v>
      </c>
      <c r="B21" s="61">
        <v>0.68459999999999999</v>
      </c>
    </row>
    <row r="22" spans="1:3" x14ac:dyDescent="0.3">
      <c r="A22" s="58" t="s">
        <v>264</v>
      </c>
      <c r="B22" s="61">
        <v>0.13691999999999999</v>
      </c>
    </row>
    <row r="23" spans="1:3" x14ac:dyDescent="0.3">
      <c r="A23" s="58" t="s">
        <v>265</v>
      </c>
      <c r="B23" s="61">
        <v>0</v>
      </c>
    </row>
    <row r="24" spans="1:3" x14ac:dyDescent="0.3">
      <c r="A24" s="58" t="s">
        <v>266</v>
      </c>
      <c r="B24" s="61">
        <v>0.82152000000000003</v>
      </c>
    </row>
    <row r="25" spans="1:3" x14ac:dyDescent="0.3">
      <c r="A25" s="58" t="s">
        <v>267</v>
      </c>
      <c r="B25" s="61">
        <v>2.17848</v>
      </c>
    </row>
    <row r="26" spans="1:3" x14ac:dyDescent="0.3">
      <c r="A26" s="58" t="s">
        <v>268</v>
      </c>
      <c r="B26" s="62">
        <v>0.27383999999999997</v>
      </c>
    </row>
    <row r="28" spans="1:3" x14ac:dyDescent="0.3">
      <c r="A28" s="55" t="s">
        <v>269</v>
      </c>
    </row>
    <row r="29" spans="1:3" x14ac:dyDescent="0.3">
      <c r="A29" s="58" t="s">
        <v>232</v>
      </c>
      <c r="B29" s="63">
        <v>10</v>
      </c>
    </row>
    <row r="30" spans="1:3" x14ac:dyDescent="0.3">
      <c r="A30" s="58" t="s">
        <v>270</v>
      </c>
      <c r="B30" s="61">
        <v>8.2151999999999994</v>
      </c>
    </row>
    <row r="31" spans="1:3" x14ac:dyDescent="0.3">
      <c r="A31" s="58" t="s">
        <v>271</v>
      </c>
      <c r="B31" s="61">
        <v>30</v>
      </c>
      <c r="C31" s="56" t="s">
        <v>272</v>
      </c>
    </row>
    <row r="33" spans="1:1" x14ac:dyDescent="0.3">
      <c r="A33" s="56" t="s">
        <v>273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8686C-2CC2-4CE9-B8BC-169E12CFA14B}">
  <dimension ref="A1:C29"/>
  <sheetViews>
    <sheetView workbookViewId="0">
      <selection activeCell="K8" sqref="K8"/>
    </sheetView>
  </sheetViews>
  <sheetFormatPr defaultRowHeight="14.4" x14ac:dyDescent="0.3"/>
  <sheetData>
    <row r="1" spans="1:3" ht="17.399999999999999" x14ac:dyDescent="0.3">
      <c r="A1" s="64" t="s">
        <v>274</v>
      </c>
    </row>
    <row r="2" spans="1:3" x14ac:dyDescent="0.3">
      <c r="A2" s="56" t="s">
        <v>275</v>
      </c>
    </row>
    <row r="4" spans="1:3" x14ac:dyDescent="0.3">
      <c r="A4" s="55" t="s">
        <v>238</v>
      </c>
    </row>
    <row r="5" spans="1:3" x14ac:dyDescent="0.3">
      <c r="A5" s="57" t="s">
        <v>3</v>
      </c>
      <c r="B5" s="57" t="s">
        <v>121</v>
      </c>
      <c r="C5" s="57" t="s">
        <v>6</v>
      </c>
    </row>
    <row r="6" spans="1:3" x14ac:dyDescent="0.3">
      <c r="A6" s="58" t="s">
        <v>214</v>
      </c>
      <c r="B6" s="59">
        <v>3</v>
      </c>
      <c r="C6" s="56" t="s">
        <v>276</v>
      </c>
    </row>
    <row r="7" spans="1:3" x14ac:dyDescent="0.3">
      <c r="A7" s="58" t="s">
        <v>277</v>
      </c>
      <c r="B7" s="60">
        <v>0.15</v>
      </c>
      <c r="C7" s="56" t="s">
        <v>278</v>
      </c>
    </row>
    <row r="8" spans="1:3" x14ac:dyDescent="0.3">
      <c r="A8" s="58" t="s">
        <v>279</v>
      </c>
      <c r="B8" s="59">
        <v>0.25</v>
      </c>
      <c r="C8" s="56" t="s">
        <v>280</v>
      </c>
    </row>
    <row r="9" spans="1:3" x14ac:dyDescent="0.3">
      <c r="A9" s="58" t="s">
        <v>281</v>
      </c>
      <c r="B9" s="60">
        <v>0.02</v>
      </c>
      <c r="C9" s="56" t="s">
        <v>282</v>
      </c>
    </row>
    <row r="10" spans="1:3" x14ac:dyDescent="0.3">
      <c r="A10" s="58" t="s">
        <v>283</v>
      </c>
      <c r="B10" s="65" t="s">
        <v>253</v>
      </c>
      <c r="C10" s="56" t="s">
        <v>284</v>
      </c>
    </row>
    <row r="11" spans="1:3" x14ac:dyDescent="0.3">
      <c r="A11" s="58" t="s">
        <v>285</v>
      </c>
      <c r="B11" s="59">
        <v>25</v>
      </c>
    </row>
    <row r="12" spans="1:3" x14ac:dyDescent="0.3">
      <c r="A12" s="58" t="s">
        <v>286</v>
      </c>
      <c r="B12" s="59">
        <v>0.75</v>
      </c>
    </row>
    <row r="13" spans="1:3" x14ac:dyDescent="0.3">
      <c r="A13" s="58" t="s">
        <v>287</v>
      </c>
      <c r="B13" s="60">
        <v>0.35</v>
      </c>
      <c r="C13" s="56" t="s">
        <v>288</v>
      </c>
    </row>
    <row r="15" spans="1:3" x14ac:dyDescent="0.3">
      <c r="A15" s="55" t="s">
        <v>289</v>
      </c>
    </row>
    <row r="16" spans="1:3" x14ac:dyDescent="0.3">
      <c r="A16" s="58" t="s">
        <v>290</v>
      </c>
      <c r="B16" s="61">
        <v>0.45</v>
      </c>
    </row>
    <row r="17" spans="1:3" x14ac:dyDescent="0.3">
      <c r="A17" s="58" t="s">
        <v>291</v>
      </c>
      <c r="B17" s="61">
        <v>0.45900000000000002</v>
      </c>
    </row>
    <row r="18" spans="1:3" x14ac:dyDescent="0.3">
      <c r="A18" s="58" t="s">
        <v>292</v>
      </c>
      <c r="B18" s="61">
        <v>0.75</v>
      </c>
      <c r="C18" s="56" t="s">
        <v>293</v>
      </c>
    </row>
    <row r="19" spans="1:3" x14ac:dyDescent="0.3">
      <c r="A19" s="58" t="s">
        <v>294</v>
      </c>
      <c r="B19" s="61">
        <v>1.2090000000000001</v>
      </c>
    </row>
    <row r="20" spans="1:3" x14ac:dyDescent="0.3">
      <c r="A20" s="58" t="s">
        <v>295</v>
      </c>
      <c r="B20" s="61">
        <v>1.7909999999999999</v>
      </c>
    </row>
    <row r="21" spans="1:3" x14ac:dyDescent="0.3">
      <c r="A21" s="58" t="s">
        <v>296</v>
      </c>
      <c r="B21" s="62">
        <v>0.40300000000000002</v>
      </c>
    </row>
    <row r="23" spans="1:3" x14ac:dyDescent="0.3">
      <c r="A23" s="55" t="s">
        <v>297</v>
      </c>
    </row>
    <row r="24" spans="1:3" x14ac:dyDescent="0.3">
      <c r="A24" s="58" t="s">
        <v>232</v>
      </c>
      <c r="B24" s="63">
        <v>10</v>
      </c>
    </row>
    <row r="25" spans="1:3" x14ac:dyDescent="0.3">
      <c r="A25" s="58" t="s">
        <v>298</v>
      </c>
      <c r="B25" s="61">
        <v>12.09</v>
      </c>
    </row>
    <row r="26" spans="1:3" x14ac:dyDescent="0.3">
      <c r="A26" s="58" t="s">
        <v>299</v>
      </c>
      <c r="B26" s="61">
        <v>0</v>
      </c>
    </row>
    <row r="27" spans="1:3" x14ac:dyDescent="0.3">
      <c r="A27" s="58" t="s">
        <v>300</v>
      </c>
      <c r="B27" s="61">
        <v>0</v>
      </c>
      <c r="C27" s="56" t="s">
        <v>301</v>
      </c>
    </row>
    <row r="29" spans="1:3" x14ac:dyDescent="0.3">
      <c r="A29" s="5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Tier 1 Equipment Costs</vt:lpstr>
      <vt:lpstr>Bin Stickers 100x140 4pk</vt:lpstr>
      <vt:lpstr>Recurring Overhead</vt:lpstr>
      <vt:lpstr>cost per item</vt:lpstr>
      <vt:lpstr>Ebay costs</vt:lpstr>
      <vt:lpstr>Etsy</vt:lpstr>
      <vt:lpstr>Amazon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Liron Stroh</cp:lastModifiedBy>
  <cp:revision>0</cp:revision>
  <dcterms:created xsi:type="dcterms:W3CDTF">2026-07-22T19:17:07Z</dcterms:created>
  <dcterms:modified xsi:type="dcterms:W3CDTF">2026-08-13T04:14:13Z</dcterms:modified>
  <dc:language>en-US</dc:language>
</cp:coreProperties>
</file>