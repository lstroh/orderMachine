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7C11E69F-966A-4841-B5E8-CC75F5E9E884}" xr6:coauthVersionLast="47" xr6:coauthVersionMax="47" xr10:uidLastSave="{00000000-0000-0000-0000-000000000000}"/>
  <bookViews>
    <workbookView xWindow="-108" yWindow="-108" windowWidth="23256" windowHeight="12456" tabRatio="500" activeTab="2"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D13" i="5"/>
  <c r="D12" i="5"/>
  <c r="D15" i="5" s="1"/>
  <c r="D16" i="5" s="1"/>
  <c r="C16" i="5"/>
  <c r="C15" i="5"/>
  <c r="C14" i="5"/>
  <c r="C13" i="5"/>
  <c r="C12" i="5"/>
  <c r="E58" i="2"/>
  <c r="D58" i="2"/>
  <c r="M5" i="4"/>
  <c r="M6" i="4"/>
  <c r="M7" i="4"/>
  <c r="M8" i="4"/>
  <c r="M9" i="4"/>
  <c r="M10" i="4"/>
  <c r="M11" i="4"/>
  <c r="M12" i="4"/>
  <c r="M4" i="4"/>
  <c r="B56"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0" i="3"/>
  <c r="E12" i="3" s="1"/>
  <c r="E8" i="3"/>
  <c r="E7" i="3"/>
  <c r="E6" i="3"/>
  <c r="B54" i="2"/>
  <c r="B48" i="2"/>
  <c r="B36" i="2"/>
  <c r="B28" i="2"/>
  <c r="B17" i="2"/>
  <c r="B15" i="2"/>
  <c r="B18" i="2" s="1"/>
  <c r="B30" i="2" s="1"/>
  <c r="B58" i="2" s="1"/>
  <c r="B43" i="1"/>
  <c r="F42" i="1"/>
  <c r="F41" i="1"/>
  <c r="F40" i="1"/>
  <c r="F39" i="1"/>
  <c r="F38" i="1"/>
  <c r="F37" i="1"/>
  <c r="F36" i="1"/>
  <c r="F35" i="1"/>
  <c r="F34" i="1"/>
  <c r="F33" i="1"/>
  <c r="F32" i="1"/>
  <c r="F31" i="1"/>
  <c r="B22" i="1"/>
  <c r="B14" i="1"/>
  <c r="B33" i="3"/>
  <c r="B23" i="3"/>
  <c r="B20" i="3"/>
  <c r="B12" i="3"/>
  <c r="B31" i="2" l="1"/>
  <c r="B45" i="1"/>
  <c r="B55" i="1" s="1"/>
  <c r="B24" i="1"/>
  <c r="B29" i="3"/>
  <c r="B34" i="3"/>
  <c r="B65" i="2" s="1"/>
  <c r="B66" i="2" s="1"/>
  <c r="B28" i="3"/>
  <c r="B27" i="3"/>
  <c r="B37" i="2"/>
  <c r="B59" i="2" l="1"/>
  <c r="B68" i="2"/>
  <c r="B52" i="1" l="1"/>
  <c r="B53" i="1" s="1"/>
  <c r="B56" i="1" s="1"/>
  <c r="B57" i="1" s="1"/>
  <c r="B69" i="2"/>
</calcChain>
</file>

<file path=xl/sharedStrings.xml><?xml version="1.0" encoding="utf-8"?>
<sst xmlns="http://schemas.openxmlformats.org/spreadsheetml/2006/main" count="402" uniqueCount="306">
  <si>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</si>
  <si>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</si>
  <si>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</si>
  <si>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</si>
  <si>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</si>
  <si>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</si>
  <si>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</si>
  <si>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</si>
  <si>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</si>
  <si>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</si>
  <si>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</si>
  <si>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</si>
  <si>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</si>
  <si>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</si>
  <si>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</si>
  <si>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</si>
  <si>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</si>
  <si>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</si>
  <si>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</si>
  <si>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</si>
  <si>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</si>
  <si>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</si>
  <si>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</si>
  <si>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</si>
  <si>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</si>
  <si>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</si>
  <si>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</si>
  <si>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</si>
  <si>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</si>
  <si>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</si>
  <si>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</si>
  <si>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</si>
  <si>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</si>
  <si>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</si>
  <si>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</si>
  <si>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</si>
  <si>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</si>
  <si>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</si>
  <si>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</si>
  <si>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</si>
  <si>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</si>
  <si>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</si>
  <si>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</si>
  <si>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</si>
  <si>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</si>
  <si>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</si>
  <si>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</si>
  <si>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</si>
  <si>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</si>
  <si>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</si>
  <si>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</si>
  <si>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</si>
  <si>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</si>
  <si>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</si>
  <si>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</si>
  <si>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</si>
  <si>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</si>
  <si>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</si>
  <si>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</si>
  <si>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</si>
  <si>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</si>
  <si>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</si>
  <si>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</si>
  <si>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</si>
  <si>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</si>
  <si>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</si>
  <si>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</si>
  <si>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</si>
  <si>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</si>
  <si>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</si>
  <si>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</si>
  <si>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</si>
  <si>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</si>
  <si>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</si>
  <si>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</si>
  <si>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</si>
  <si>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</si>
  <si>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</si>
  <si>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</si>
  <si>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</si>
  <si>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</si>
  <si>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</si>
  <si>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</si>
  <si>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</si>
  <si>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</si>
  <si>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</si>
  <si>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</si>
  <si>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</si>
  <si>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</si>
  <si>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</si>
  <si>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</si>
  <si>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</si>
  <si>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</si>
  <si>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</si>
  <si>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</si>
  <si>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</si>
  <si>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</si>
  <si>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</si>
  <si>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</si>
  <si>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</si>
  <si>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</si>
  <si>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</si>
  <si>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</si>
  <si>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</si>
  <si>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</si>
  <si>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</si>
  <si>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</si>
  <si>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</si>
  <si>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</si>
  <si>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</si>
  <si>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</si>
  <si>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</si>
  <si>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</si>
  <si>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</si>
  <si>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</si>
  <si>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</si>
  <si>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</si>
  <si>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</si>
  <si>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</si>
  <si>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</si>
  <si>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</si>
  <si>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</si>
  <si>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</si>
  <si>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</si>
  <si>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</si>
  <si>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</si>
  <si>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</si>
  <si>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</si>
  <si>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</si>
  <si>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</si>
  <si>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</si>
  <si>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</si>
  <si>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</si>
  <si>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</si>
  <si>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</si>
  <si>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</si>
  <si>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</si>
  <si>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</si>
  <si>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</si>
  <si>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</si>
  <si>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</si>
  <si>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</si>
  <si>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</si>
  <si>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</si>
  <si>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</si>
  <si>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</si>
  <si>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</si>
  <si>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</si>
  <si>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</si>
  <si>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</si>
  <si>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</si>
  <si>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</si>
  <si>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</si>
  <si>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</si>
  <si>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</si>
  <si>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</si>
  <si>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</si>
  <si>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</si>
  <si>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</si>
  <si>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</si>
  <si>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</si>
  <si>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</si>
  <si>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</si>
  <si>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</si>
  <si>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</si>
  <si>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</si>
  <si>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</si>
  <si>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</si>
  <si>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</si>
  <si>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</si>
  <si>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</si>
  <si>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</si>
  <si>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</si>
  <si>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</si>
  <si>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</si>
  <si>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</si>
  <si>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</si>
  <si>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</si>
  <si>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</si>
  <si>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</si>
  <si>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</si>
  <si>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</si>
  <si>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</si>
  <si>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</si>
  <si>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</si>
  <si>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</si>
  <si>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</si>
  <si>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</si>
  <si>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</si>
  <si>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</si>
  <si>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</si>
  <si>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</si>
  <si>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</si>
  <si>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</si>
  <si>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</si>
  <si>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</si>
  <si>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</si>
  <si>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</si>
  <si>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</si>
  <si>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</si>
  <si>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</si>
  <si>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</si>
  <si>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</si>
  <si>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</si>
  <si>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</si>
  <si>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</si>
  <si>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</si>
  <si>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</si>
  <si>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</si>
  <si>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</si>
  <si>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</si>
  <si>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</si>
  <si>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</si>
  <si>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</si>
  <si>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</si>
  <si>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</si>
  <si>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</si>
  <si>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</si>
  <si>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</si>
  <si>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</si>
  <si>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</si>
  <si>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</si>
  <si>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</si>
  <si>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</si>
  <si>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</si>
  <si>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</si>
  <si>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</si>
  <si>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</si>
  <si>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</si>
  <si>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</si>
  <si>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</si>
  <si>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</si>
  <si>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</si>
  <si>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</si>
  <si>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</si>
  <si>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</si>
  <si>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</si>
  <si>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</si>
  <si>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</si>
  <si>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</si>
  <si>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</si>
  <si>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</si>
  <si>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</si>
  <si>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</si>
  <si>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</si>
  <si>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</si>
  <si>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</si>
  <si>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</si>
  <si>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</si>
  <si>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</si>
  <si>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</si>
  <si>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</si>
  <si>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</si>
  <si>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</si>
  <si>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</si>
  <si>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</si>
  <si>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</si>
  <si>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</si>
  <si>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</si>
  <si>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</si>
  <si>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</si>
  <si>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</si>
  <si>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</si>
  <si>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</si>
  <si>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</si>
  <si>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</si>
  <si>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</si>
  <si>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</si>
  <si>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</si>
  <si>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</si>
  <si>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</si>
  <si>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</si>
  <si>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</si>
  <si>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</si>
  <si>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</si>
  <si>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</si>
  <si>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</si>
  <si>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</si>
  <si>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</si>
  <si>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</si>
  <si>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</si>
  <si>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</si>
  <si>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</si>
  <si>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</si>
  <si>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</si>
  <si>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</si>
  <si>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</si>
  <si>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</si>
  <si>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</si>
  <si>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</si>
  <si>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</si>
  <si>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</si>
  <si>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</si>
  <si>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</si>
  <si>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</si>
  <si>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</si>
  <si>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</si>
  <si>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</si>
  <si>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</si>
  <si>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</si>
  <si>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</si>
  <si>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</si>
  <si>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</si>
  <si>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</si>
  <si>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</si>
  <si>
    <t>domain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</si>
</sst>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zoomScaleNormal="100" workbookViewId="0">
      <pane ySplit="4" topLeftCell="A22" activePane="bottomLeft" state="frozen"/>
      <selection pane="bottomLeft" activeCell="F41" sqref="F41"/>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49" t="s">
        <v>85</v>
      </c>
      <c r="B31" s="18">
        <v>13</v>
      </c>
      <c r="C31" s="17"/>
      <c r="D31" s="1"/>
      <c r="E31">
        <v>25</v>
      </c>
      <c r="F31">
        <f t="shared" ref="F31:F40" si="0">B31/E31</f>
        <v>0.52</v>
      </c>
      <c r="G31" t="s">
        <v>86</v>
      </c>
    </row>
    <row r="32" spans="1:7" ht="15" customHeight="1" x14ac:dyDescent="0.35">
      <c r="A32" s="49"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68" t="s">
        <v>106</v>
      </c>
      <c r="B46" s="69"/>
      <c r="C46" s="69"/>
      <c r="D46" s="69"/>
    </row>
    <row r="48" spans="1:9" ht="15.6" customHeight="1" x14ac:dyDescent="0.3">
      <c r="A48" s="23" t="s">
        <v>107</v>
      </c>
    </row>
    <row r="49" spans="1:4" x14ac:dyDescent="0.3">
      <c r="A49" s="68" t="s">
        <v>108</v>
      </c>
      <c r="B49" s="69"/>
      <c r="C49" s="69"/>
      <c r="D49" s="69"/>
    </row>
    <row r="51" spans="1:4" x14ac:dyDescent="0.3">
      <c r="A51" s="17" t="s">
        <v>109</v>
      </c>
      <c r="B51" s="18">
        <v>6</v>
      </c>
      <c r="D51" s="1" t="s">
        <v>110</v>
      </c>
    </row>
    <row r="52" spans="1:4" x14ac:dyDescent="0.3">
      <c r="A52" s="17" t="s">
        <v>111</v>
      </c>
      <c r="B52" s="24">
        <f>'Bin Stickers 100x140 4pk'!B68</f>
        <v>29.027866666666664</v>
      </c>
      <c r="D52" s="1" t="s">
        <v>112</v>
      </c>
    </row>
    <row r="53" spans="1:4" x14ac:dyDescent="0.3">
      <c r="A53" s="25" t="s">
        <v>113</v>
      </c>
      <c r="B53" s="26">
        <f>B51-B52</f>
        <v>-23.027866666666664</v>
      </c>
    </row>
    <row r="55" spans="1:4" x14ac:dyDescent="0.3">
      <c r="A55" s="17" t="s">
        <v>114</v>
      </c>
      <c r="B55" s="27">
        <f>B45</f>
        <v>631.30999999999995</v>
      </c>
    </row>
    <row r="56" spans="1:4" x14ac:dyDescent="0.3">
      <c r="A56" s="19" t="s">
        <v>115</v>
      </c>
      <c r="B56" s="28">
        <f>IFERROR(B55/B53,"N/A")</f>
        <v>-27.415044960019454</v>
      </c>
    </row>
    <row r="57" spans="1:4" x14ac:dyDescent="0.3">
      <c r="A57" s="19" t="s">
        <v>116</v>
      </c>
      <c r="B57" s="28">
        <f>IFERROR(B56*'Bin Stickers 100x140 4pk'!B7,"N/A")</f>
        <v>-109.66017984007782</v>
      </c>
    </row>
    <row r="59" spans="1:4" x14ac:dyDescent="0.3">
      <c r="A59" s="68" t="s">
        <v>117</v>
      </c>
      <c r="B59" s="69"/>
      <c r="C59" s="69"/>
      <c r="D59" s="69"/>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50" zoomScaleNormal="100" workbookViewId="0">
      <selection activeCell="E59" sqref="E59"/>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0.43</v>
      </c>
      <c r="C12" s="30" t="s">
        <v>132</v>
      </c>
    </row>
    <row r="13" spans="1:3" ht="14.25" customHeight="1" x14ac:dyDescent="0.3">
      <c r="A13" t="s">
        <v>133</v>
      </c>
      <c r="B13" s="34">
        <v>0.44</v>
      </c>
      <c r="C13" s="30" t="s">
        <v>134</v>
      </c>
    </row>
    <row r="14" spans="1:3" ht="14.25" customHeight="1" x14ac:dyDescent="0.3">
      <c r="A14" t="s">
        <v>135</v>
      </c>
      <c r="B14" s="34">
        <v>0.05</v>
      </c>
      <c r="C14" s="30" t="s">
        <v>136</v>
      </c>
    </row>
    <row r="15" spans="1:3" ht="14.25" customHeight="1" x14ac:dyDescent="0.3">
      <c r="A15" t="s">
        <v>137</v>
      </c>
      <c r="B15" s="35">
        <f>SUM(B12:B14)</f>
        <v>0.92</v>
      </c>
    </row>
    <row r="17" spans="1:3" ht="14.25" customHeight="1" x14ac:dyDescent="0.3">
      <c r="A17" t="s">
        <v>138</v>
      </c>
      <c r="B17" s="36">
        <f>B8</f>
        <v>1</v>
      </c>
    </row>
    <row r="18" spans="1:3" ht="14.25" customHeight="1" x14ac:dyDescent="0.3">
      <c r="A18" t="s">
        <v>139</v>
      </c>
      <c r="B18" s="35">
        <f>B15*B17</f>
        <v>0.92</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v>
      </c>
      <c r="C30" s="37"/>
    </row>
    <row r="31" spans="1:3" x14ac:dyDescent="0.3">
      <c r="A31" s="37" t="s">
        <v>155</v>
      </c>
      <c r="B31" s="42">
        <f>B30/B7</f>
        <v>0.25</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1.03</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15.89</v>
      </c>
      <c r="C52" s="39" t="s">
        <v>183</v>
      </c>
    </row>
    <row r="53" spans="1:5" ht="54.75" customHeight="1" x14ac:dyDescent="0.3">
      <c r="A53" s="37" t="s">
        <v>184</v>
      </c>
      <c r="B53" s="34">
        <v>25</v>
      </c>
      <c r="C53" s="37"/>
    </row>
    <row r="54" spans="1:5" x14ac:dyDescent="0.3">
      <c r="A54" s="3" t="s">
        <v>185</v>
      </c>
      <c r="B54" s="40">
        <f>B52/B53</f>
        <v>0.63560000000000005</v>
      </c>
      <c r="C54" s="37"/>
    </row>
    <row r="55" spans="1:5" ht="114.75" customHeight="1" x14ac:dyDescent="0.3">
      <c r="A55" s="37" t="s">
        <v>186</v>
      </c>
      <c r="B55" s="34">
        <v>3</v>
      </c>
      <c r="C55" s="39" t="s">
        <v>187</v>
      </c>
    </row>
    <row r="56" spans="1:5" ht="60" customHeight="1" x14ac:dyDescent="0.3">
      <c r="A56" s="3" t="s">
        <v>188</v>
      </c>
      <c r="B56">
        <f>B54/3</f>
        <v>0.21186666666666668</v>
      </c>
      <c r="D56" t="s">
        <v>208</v>
      </c>
      <c r="E56" t="s">
        <v>303</v>
      </c>
    </row>
    <row r="57" spans="1:5" x14ac:dyDescent="0.3">
      <c r="A57" s="37"/>
      <c r="B57" s="37"/>
      <c r="C57" s="37"/>
    </row>
    <row r="58" spans="1:5" x14ac:dyDescent="0.3">
      <c r="A58" s="3" t="s">
        <v>189</v>
      </c>
      <c r="B58" s="40">
        <f>B30+B48+B56+B36</f>
        <v>2.1518666666666668</v>
      </c>
      <c r="C58" s="37"/>
      <c r="D58" s="66">
        <f>B58-B12-B13+0.65</f>
        <v>1.9318666666666671</v>
      </c>
      <c r="E58" s="66">
        <f>B58-B12+0.48</f>
        <v>2.2018666666666666</v>
      </c>
    </row>
    <row r="59" spans="1:5" x14ac:dyDescent="0.3">
      <c r="A59" s="37" t="s">
        <v>190</v>
      </c>
      <c r="B59" s="42">
        <f>B58/B7</f>
        <v>0.5379666666666667</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Overhead'!B34</f>
        <v>6.7189999999999994</v>
      </c>
      <c r="C65" s="2" t="s">
        <v>194</v>
      </c>
    </row>
    <row r="66" spans="1:3" x14ac:dyDescent="0.3">
      <c r="A66" s="37" t="s">
        <v>195</v>
      </c>
      <c r="B66" s="41">
        <f>B65*B7</f>
        <v>26.875999999999998</v>
      </c>
    </row>
    <row r="68" spans="1:3" x14ac:dyDescent="0.3">
      <c r="A68" s="3" t="s">
        <v>196</v>
      </c>
      <c r="B68" s="40">
        <f>B58+B66</f>
        <v>29.027866666666664</v>
      </c>
    </row>
    <row r="69" spans="1:3" x14ac:dyDescent="0.3">
      <c r="A69" s="37" t="s">
        <v>197</v>
      </c>
      <c r="B69" s="42">
        <f>B68/B7</f>
        <v>7.2569666666666661</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4"/>
  <sheetViews>
    <sheetView tabSelected="1" zoomScaleNormal="100" workbookViewId="0">
      <selection activeCell="G9" sqref="G9"/>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305</v>
      </c>
      <c r="B9" s="18"/>
      <c r="C9" s="17"/>
      <c r="D9" s="1"/>
      <c r="E9">
        <v>30</v>
      </c>
    </row>
    <row r="10" spans="1:5" x14ac:dyDescent="0.3">
      <c r="A10" s="17" t="s">
        <v>304</v>
      </c>
      <c r="B10" s="18">
        <v>11.8</v>
      </c>
      <c r="C10" s="17"/>
      <c r="D10" s="1"/>
      <c r="E10">
        <f>B10*12</f>
        <v>141.60000000000002</v>
      </c>
    </row>
    <row r="11" spans="1:5" x14ac:dyDescent="0.3">
      <c r="A11" s="17" t="s">
        <v>15</v>
      </c>
      <c r="B11" s="18">
        <v>0</v>
      </c>
      <c r="C11" s="17" t="s">
        <v>13</v>
      </c>
      <c r="D11" s="1" t="s">
        <v>16</v>
      </c>
    </row>
    <row r="12" spans="1:5" x14ac:dyDescent="0.3">
      <c r="A12" s="19" t="s">
        <v>17</v>
      </c>
      <c r="B12" s="20">
        <f>SUM(B6:B11)</f>
        <v>67.19</v>
      </c>
      <c r="E12">
        <f>SUM(E6:E11)</f>
        <v>698.34</v>
      </c>
    </row>
    <row r="14" spans="1:5" x14ac:dyDescent="0.3">
      <c r="A14" s="12" t="s">
        <v>18</v>
      </c>
    </row>
    <row r="15" spans="1:5" x14ac:dyDescent="0.3">
      <c r="A15" s="68" t="s">
        <v>19</v>
      </c>
      <c r="B15" s="69"/>
      <c r="C15" s="69"/>
      <c r="D15" s="69"/>
    </row>
    <row r="17" spans="1:4" x14ac:dyDescent="0.3">
      <c r="A17" s="16" t="s">
        <v>20</v>
      </c>
      <c r="B17" s="16" t="s">
        <v>21</v>
      </c>
      <c r="C17" s="16" t="s">
        <v>22</v>
      </c>
      <c r="D17" s="16" t="s">
        <v>23</v>
      </c>
    </row>
    <row r="18" spans="1:4" x14ac:dyDescent="0.3">
      <c r="A18" s="17" t="s">
        <v>24</v>
      </c>
      <c r="B18" s="44">
        <v>10</v>
      </c>
      <c r="C18" s="17" t="s">
        <v>25</v>
      </c>
      <c r="D18" s="1" t="s">
        <v>26</v>
      </c>
    </row>
    <row r="19" spans="1:4" x14ac:dyDescent="0.3">
      <c r="A19" s="17" t="s">
        <v>27</v>
      </c>
      <c r="B19" s="44">
        <v>40</v>
      </c>
      <c r="C19" s="17" t="s">
        <v>28</v>
      </c>
      <c r="D19" s="1" t="s">
        <v>29</v>
      </c>
    </row>
    <row r="20" spans="1:4" x14ac:dyDescent="0.3">
      <c r="A20" s="17" t="s">
        <v>30</v>
      </c>
      <c r="B20" s="45">
        <f>B22</f>
        <v>1</v>
      </c>
      <c r="C20" s="17" t="s">
        <v>31</v>
      </c>
      <c r="D20" s="1" t="s">
        <v>32</v>
      </c>
    </row>
    <row r="22" spans="1:4" x14ac:dyDescent="0.3">
      <c r="A22" s="17" t="s">
        <v>33</v>
      </c>
      <c r="B22" s="46">
        <v>1</v>
      </c>
      <c r="D22" s="1" t="s">
        <v>34</v>
      </c>
    </row>
    <row r="23" spans="1:4" x14ac:dyDescent="0.3">
      <c r="A23" s="17" t="s">
        <v>35</v>
      </c>
      <c r="B23" s="45">
        <f>IFERROR(B22*4.33/(45/60)*20,0)</f>
        <v>115.46666666666667</v>
      </c>
      <c r="D23" s="1" t="s">
        <v>36</v>
      </c>
    </row>
    <row r="25" spans="1:4" x14ac:dyDescent="0.3">
      <c r="A25" s="12" t="s">
        <v>37</v>
      </c>
    </row>
    <row r="26" spans="1:4" x14ac:dyDescent="0.3">
      <c r="A26" s="16" t="s">
        <v>20</v>
      </c>
      <c r="B26" s="16" t="s">
        <v>38</v>
      </c>
    </row>
    <row r="27" spans="1:4" x14ac:dyDescent="0.3">
      <c r="A27" s="17" t="s">
        <v>24</v>
      </c>
      <c r="B27" s="27">
        <f>IFERROR($B$12/B18,0)</f>
        <v>6.7189999999999994</v>
      </c>
    </row>
    <row r="28" spans="1:4" x14ac:dyDescent="0.3">
      <c r="A28" s="17" t="s">
        <v>27</v>
      </c>
      <c r="B28" s="27">
        <f>IFERROR($B$12/B19,0)</f>
        <v>1.6797499999999999</v>
      </c>
    </row>
    <row r="29" spans="1:4" x14ac:dyDescent="0.3">
      <c r="A29" s="17" t="s">
        <v>30</v>
      </c>
      <c r="B29" s="27">
        <f>IFERROR($B$12/B20,0)</f>
        <v>67.19</v>
      </c>
    </row>
    <row r="31" spans="1:4" x14ac:dyDescent="0.3">
      <c r="A31" s="12" t="s">
        <v>39</v>
      </c>
    </row>
    <row r="32" spans="1:4" x14ac:dyDescent="0.3">
      <c r="A32" s="17" t="s">
        <v>40</v>
      </c>
      <c r="B32" s="47" t="s">
        <v>24</v>
      </c>
      <c r="D32" s="1" t="s">
        <v>41</v>
      </c>
    </row>
    <row r="33" spans="1:2" x14ac:dyDescent="0.3">
      <c r="A33" s="17" t="s">
        <v>42</v>
      </c>
      <c r="B33" s="45">
        <f>INDEX(B18:B20,MATCH(B32,A18:A20,0))</f>
        <v>10</v>
      </c>
    </row>
    <row r="34" spans="1:2" x14ac:dyDescent="0.3">
      <c r="A34" s="19" t="s">
        <v>43</v>
      </c>
      <c r="B34" s="20">
        <f>IFERROR($B$12/B33,0)</f>
        <v>6.7189999999999994</v>
      </c>
    </row>
  </sheetData>
  <mergeCells count="2">
    <mergeCell ref="A15:D15"/>
    <mergeCell ref="A2:D2"/>
  </mergeCells>
  <dataValidations count="1">
    <dataValidation type="list" sqref="B32"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D24"/>
  <sheetViews>
    <sheetView workbookViewId="0">
      <selection activeCell="D12" sqref="D12"/>
    </sheetView>
  </sheetViews>
  <sheetFormatPr defaultRowHeight="14.4" x14ac:dyDescent="0.3"/>
  <cols>
    <col min="1" max="1" width="77.21875" customWidth="1"/>
  </cols>
  <sheetData>
    <row r="1" spans="1:4" x14ac:dyDescent="0.3">
      <c r="A1" s="55" t="s">
        <v>212</v>
      </c>
    </row>
    <row r="2" spans="1:4" x14ac:dyDescent="0.3">
      <c r="A2" s="56" t="s">
        <v>213</v>
      </c>
    </row>
    <row r="4" spans="1:4" x14ac:dyDescent="0.3">
      <c r="A4" s="57" t="s">
        <v>3</v>
      </c>
      <c r="B4" s="57" t="s">
        <v>121</v>
      </c>
      <c r="C4" s="57" t="s">
        <v>6</v>
      </c>
    </row>
    <row r="5" spans="1:4" x14ac:dyDescent="0.3">
      <c r="A5" s="58" t="s">
        <v>214</v>
      </c>
      <c r="B5" s="59">
        <v>3</v>
      </c>
      <c r="C5" s="56" t="s">
        <v>215</v>
      </c>
    </row>
    <row r="6" spans="1:4" x14ac:dyDescent="0.3">
      <c r="A6" s="58" t="s">
        <v>216</v>
      </c>
      <c r="B6" s="60">
        <v>0.04</v>
      </c>
      <c r="C6" s="56" t="s">
        <v>217</v>
      </c>
    </row>
    <row r="7" spans="1:4" x14ac:dyDescent="0.3">
      <c r="A7" s="58" t="s">
        <v>218</v>
      </c>
      <c r="B7" s="60">
        <v>0.128</v>
      </c>
      <c r="C7" s="56" t="s">
        <v>219</v>
      </c>
    </row>
    <row r="8" spans="1:4" x14ac:dyDescent="0.3">
      <c r="A8" s="58" t="s">
        <v>220</v>
      </c>
      <c r="B8" s="59">
        <v>0.3</v>
      </c>
      <c r="C8" s="56" t="s">
        <v>221</v>
      </c>
    </row>
    <row r="9" spans="1:4" x14ac:dyDescent="0.3">
      <c r="A9" s="58" t="s">
        <v>222</v>
      </c>
      <c r="B9" s="60">
        <v>4.0000000000000001E-3</v>
      </c>
      <c r="C9" s="56" t="s">
        <v>223</v>
      </c>
    </row>
    <row r="11" spans="1:4" x14ac:dyDescent="0.3">
      <c r="A11" s="55" t="s">
        <v>224</v>
      </c>
      <c r="D11">
        <v>3.9</v>
      </c>
    </row>
    <row r="12" spans="1:4" x14ac:dyDescent="0.3">
      <c r="A12" s="58" t="s">
        <v>225</v>
      </c>
      <c r="B12" s="61">
        <v>0.12</v>
      </c>
      <c r="C12">
        <f>B6*B5</f>
        <v>0.12</v>
      </c>
      <c r="D12">
        <f>B6*D11</f>
        <v>0.156</v>
      </c>
    </row>
    <row r="13" spans="1:4" x14ac:dyDescent="0.3">
      <c r="A13" s="58" t="s">
        <v>226</v>
      </c>
      <c r="B13" s="61">
        <v>0.38400000000000001</v>
      </c>
      <c r="C13">
        <f>B7*B5</f>
        <v>0.38400000000000001</v>
      </c>
      <c r="D13">
        <f>B7*D11</f>
        <v>0.49919999999999998</v>
      </c>
    </row>
    <row r="14" spans="1:4" x14ac:dyDescent="0.3">
      <c r="A14" s="58" t="s">
        <v>227</v>
      </c>
      <c r="B14" s="61">
        <v>1.2E-2</v>
      </c>
      <c r="C14">
        <f>B9*B5</f>
        <v>1.2E-2</v>
      </c>
      <c r="D14">
        <f>B9*D11</f>
        <v>1.5599999999999999E-2</v>
      </c>
    </row>
    <row r="15" spans="1:4" x14ac:dyDescent="0.3">
      <c r="A15" s="58" t="s">
        <v>228</v>
      </c>
      <c r="B15" s="61">
        <v>0.81599999999999995</v>
      </c>
      <c r="C15" s="67">
        <f>SUM(C12:C14)+B8</f>
        <v>0.81600000000000006</v>
      </c>
      <c r="D15" s="67">
        <f>SUM(D12:D14)+B8</f>
        <v>0.97079999999999989</v>
      </c>
    </row>
    <row r="16" spans="1:4" x14ac:dyDescent="0.3">
      <c r="A16" s="58" t="s">
        <v>229</v>
      </c>
      <c r="B16" s="61">
        <v>2.1840000000000002</v>
      </c>
      <c r="C16" s="67">
        <f>B5-C15</f>
        <v>2.1840000000000002</v>
      </c>
      <c r="D16" s="67">
        <f>D11-D15</f>
        <v>2.9291999999999998</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2026-08-12T04:21:36Z</dcterms:modified>
  <dc:language>en-US</dc:language>
</cp:coreProperties>
</file>